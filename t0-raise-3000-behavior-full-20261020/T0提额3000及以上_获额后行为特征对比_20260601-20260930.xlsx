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b686c71a045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体与月度" sheetId="1" r:id="Ra2f4838c625e43ac"/>
    <x:sheet xmlns:r="http://schemas.openxmlformats.org/officeDocument/2006/relationships" name="页面行为" sheetId="2" r:id="Ra3aba1e150af49c8"/>
    <x:sheet xmlns:r="http://schemas.openxmlformats.org/officeDocument/2006/relationships" name="逐日行为" sheetId="3" r:id="Rc10ce1ce52af4c6d"/>
    <x:sheet xmlns:r="http://schemas.openxmlformats.org/officeDocument/2006/relationships" name="未提单与可比对照" sheetId="4" r:id="Rd2dc4380a2b54c78"/>
    <x:sheet xmlns:r="http://schemas.openxmlformats.org/officeDocument/2006/relationships" name="统计口径" sheetId="5" r:id="R2ee6823629d04b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%"/>
    <x:numFmt numFmtId="202" formatCode="0.00"/>
    <x:numFmt numFmtId="203" formatCode="yyyy-mm"/>
    <x:numFmt numFmtId="204" formatCode="+0.00;-0.00;0.00"/>
  </x:numFmts>
  <x:fonts count="7">
    <x:font>
      <x:sz val="11"/>
      <x:name val="Carlito"/>
    </x:font>
    <x:font>
      <x:sz val="11"/>
      <x:color rgb="FF183046"/>
      <x:name val="Arial"/>
    </x:font>
    <x:font>
      <x:b/>
      <x:sz val="15"/>
      <x:color rgb="FF183A57"/>
      <x:name val="Arial"/>
    </x:font>
    <x:font>
      <x:i/>
      <x:sz val="11"/>
      <x:color rgb="FF536474"/>
      <x:name val="Arial"/>
    </x:font>
    <x:font>
      <x:b/>
      <x:sz val="11"/>
      <x:color rgb="FFFFFFFF"/>
      <x:name val="Arial"/>
    </x:font>
    <x:font>
      <x:i/>
      <x:sz val="10"/>
      <x:color rgb="FF536474"/>
      <x:name val="Arial"/>
    </x:font>
    <x:font>
      <x:b/>
      <x:sz val="12"/>
      <x:color rgb="FF1830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F59"/>
      </x:patternFill>
    </x:fill>
    <x:fill>
      <x:patternFill patternType="solid">
        <x:fgColor rgb="FFF2F6F9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9DAFBC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left" vertical="center"/>
    </x:xf>
    <x:xf numFmtId="203" fontId="1" fillId="3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c9713a2f304453" /><Relationship Type="http://schemas.openxmlformats.org/officeDocument/2006/relationships/theme" Target="/xl/theme/theme1.xml" Id="Raef7caa5094142db" /><Relationship Type="http://schemas.openxmlformats.org/officeDocument/2006/relationships/sharedStrings" Target="/xl/sharedStrings.xml" Id="R205e5396912f418c" /><Relationship Type="http://schemas.openxmlformats.org/officeDocument/2006/relationships/worksheet" Target="/xl/worksheets/sheet1.xml" Id="Ra2f4838c625e43ac" /><Relationship Type="http://schemas.openxmlformats.org/officeDocument/2006/relationships/worksheet" Target="/xl/worksheets/sheet2.xml" Id="Ra3aba1e150af49c8" /><Relationship Type="http://schemas.openxmlformats.org/officeDocument/2006/relationships/worksheet" Target="/xl/worksheets/sheet3.xml" Id="Rc10ce1ce52af4c6d" /><Relationship Type="http://schemas.openxmlformats.org/officeDocument/2006/relationships/worksheet" Target="/xl/worksheets/sheet4.xml" Id="Rd2dc4380a2b54c78" /><Relationship Type="http://schemas.openxmlformats.org/officeDocument/2006/relationships/worksheet" Target="/xl/worksheets/sheet5.xml" Id="R2ee6823629d04b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832def98944c9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各月当天实际提单率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提额≥3000</c:v>
          </c:tx>
          <c:spPr>
            <a:ln xmlns:a="http://schemas.openxmlformats.org/drawingml/2006/main" w="19050">
              <a:solidFill>
                <a:srgbClr val="356F9D"/>
              </a:solidFill>
              <a:prstDash val="solid"/>
            </a:ln>
          </c:spPr>
          <c:marker>
            <c:symbol val="none"/>
          </c:marker>
          <c:cat>
            <c:strRef>
              <c:f>'总体与月度'!$T$6:$T$9</c:f>
              <c:strCache>
                <c:ptCount val="0"/>
              </c:strCache>
            </c:strRef>
          </c:cat>
          <c:val>
            <c:numRef>
              <c:f>'总体与月度'!$U$6:$U$9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其他T0</c:v>
          </c:tx>
          <c:spPr>
            <a:ln xmlns:a="http://schemas.openxmlformats.org/drawingml/2006/main" w="19050">
              <a:solidFill>
                <a:srgbClr val="B36D35"/>
              </a:solidFill>
              <a:prstDash val="solid"/>
            </a:ln>
          </c:spPr>
          <c:marker>
            <c:symbol val="none"/>
          </c:marker>
          <c:cat>
            <c:strRef>
              <c:f>'总体与月度'!$T$6:$T$9</c:f>
              <c:strCache>
                <c:ptCount val="0"/>
              </c:strCache>
            </c:strRef>
          </c:cat>
          <c:val>
            <c:numRef>
              <c:f>'总体与月度'!$V$6:$V$9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832def98944c9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6dcca76bf14400f" /></Relationships>
</file>

<file path=xl/worksheets/sheet1.xml><?xml version="1.0" encoding="utf-8"?>
<x:worksheet xmlns:x="http://schemas.openxmlformats.org/spreadsheetml/2006/main">
  <x:sheetPr>
    <x:tabColor rgb="FF213F59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5" customHeight="1">
      <x:c r="A2" s="3" t="str">
        <x:v>T0提额≥3000获额后行为对比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5" customHeight="1">
      <x:c r="A3" s="4" t="str">
        <x:v>2026-06-01至2026-09-30；获额按20秒链式批次去重；行为从获额时刻开始。金额为MXN。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5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</x:row>
    <x:row r="5" ht="58" customHeight="1">
      <x:c r="A5" s="14" t="str">
        <x:v>事件分组</x:v>
      </x:c>
      <x:c r="B5" s="15" t="str">
        <x:v>获额事件数</x:v>
      </x:c>
      <x:c r="C5" s="15" t="str">
        <x:v>去重用户数</x:v>
      </x:c>
      <x:c r="D5" s="15" t="str">
        <x:v>当天提单
事件数</x:v>
      </x:c>
      <x:c r="E5" s="15" t="str">
        <x:v>当天提单率</x:v>
      </x:c>
      <x:c r="F5" s="15" t="str">
        <x:v>D0—D7提单
事件数</x:v>
      </x:c>
      <x:c r="G5" s="15" t="str">
        <x:v>D0—D7提单率</x:v>
      </x:c>
      <x:c r="H5" s="15" t="str">
        <x:v>借款页进页
事件数</x:v>
      </x:c>
      <x:c r="I5" s="15" t="str">
        <x:v>借款页进页率</x:v>
      </x:c>
      <x:c r="J5" s="15" t="str">
        <x:v>有行为记录
事件数</x:v>
      </x:c>
      <x:c r="K5" s="15" t="str">
        <x:v>有行为记录率</x:v>
      </x:c>
      <x:c r="L5" s="15" t="str">
        <x:v>前7天平均
活跃天数</x:v>
      </x:c>
      <x:c r="M5" s="15" t="str">
        <x:v>平均历史
借款次数</x:v>
      </x:c>
      <x:c r="N5" s="15" t="str">
        <x:v>平均本次额度
（MXN）</x:v>
      </x:c>
      <x:c r="O5" s="16" t="str">
        <x:v>当天平均
观察小时</x:v>
      </x:c>
      <x:c r="P5" s="2"/>
      <x:c r="Q5" s="2"/>
      <x:c r="R5" s="2"/>
      <x:c r="S5" s="2"/>
      <x:c r="T5" s="2" t="str">
        <x:v>获额月份</x:v>
      </x:c>
      <x:c r="U5" s="2" t="str">
        <x:v>提额≥3000</x:v>
      </x:c>
      <x:c r="V5" s="2" t="str">
        <x:v>其他T0</x:v>
      </x:c>
    </x:row>
    <x:row r="6" ht="25" customHeight="1">
      <x:c r="A6" s="18" t="str">
        <x:v>提额≥3000</x:v>
      </x:c>
      <x:c r="B6" s="21" t="n">
        <x:v>12309</x:v>
      </x:c>
      <x:c r="C6" s="21" t="n">
        <x:v>10440</x:v>
      </x:c>
      <x:c r="D6" s="21" t="n">
        <x:v>3061</x:v>
      </x:c>
      <x:c r="E6" s="23" t="n">
        <x:f>IF(B6&gt;0,D6/B6,"")</x:f>
        <x:v>0.2486798277682996</x:v>
      </x:c>
      <x:c r="F6" s="21" t="n">
        <x:v>6227</x:v>
      </x:c>
      <x:c r="G6" s="23" t="n">
        <x:f>IF(B6&gt;0,F6/B6,"")</x:f>
        <x:v>0.5058899991875864</x:v>
      </x:c>
      <x:c r="H6" s="21" t="n">
        <x:v>10353</x:v>
      </x:c>
      <x:c r="I6" s="23" t="n">
        <x:f>IF(B6&gt;0,H6/B6,"")</x:f>
        <x:v>0.8410918839873264</x:v>
      </x:c>
      <x:c r="J6" s="21" t="n">
        <x:v>11241</x:v>
      </x:c>
      <x:c r="K6" s="23" t="n">
        <x:f>IF(B6&gt;0,J6/B6,"")</x:f>
        <x:v>0.9132342188642457</x:v>
      </x:c>
      <x:c r="L6" s="25" t="n">
        <x:v>3.0583313022991305</x:v>
      </x:c>
      <x:c r="M6" s="25" t="n">
        <x:v>4.433747664310667</x:v>
      </x:c>
      <x:c r="N6" s="21" t="n">
        <x:v>10758.345600779918</x:v>
      </x:c>
      <x:c r="O6" s="25" t="n">
        <x:v>9.334335626145279</x:v>
      </x:c>
      <x:c r="P6" s="2"/>
      <x:c r="Q6" s="2"/>
      <x:c r="R6" s="2"/>
      <x:c r="S6" s="2"/>
      <x:c r="T6" s="2" t="str">
        <x:v>2026-06</x:v>
      </x:c>
      <x:c r="U6" s="31" t="n">
        <x:f>F34</x:f>
        <x:v>0.2923019709929342</x:v>
      </x:c>
      <x:c r="V6" s="31" t="n">
        <x:f>F38</x:f>
        <x:v>0.4483752748595162</x:v>
      </x:c>
    </x:row>
    <x:row r="7" ht="25" customHeight="1">
      <x:c r="A7" s="19" t="str">
        <x:v>提额0至3000</x:v>
      </x:c>
      <x:c r="B7" s="22" t="n">
        <x:v>39532</x:v>
      </x:c>
      <x:c r="C7" s="22" t="n">
        <x:v>30633</x:v>
      </x:c>
      <x:c r="D7" s="22" t="n">
        <x:v>16374</x:v>
      </x:c>
      <x:c r="E7" s="24" t="n">
        <x:f>IF(B7&gt;0,D7/B7,"")</x:f>
        <x:v>0.4141960943033492</x:v>
      </x:c>
      <x:c r="F7" s="22" t="n">
        <x:v>27155</x:v>
      </x:c>
      <x:c r="G7" s="24" t="n">
        <x:f>IF(B7&gt;0,F7/B7,"")</x:f>
        <x:v>0.6869118688657291</x:v>
      </x:c>
      <x:c r="H7" s="22" t="n">
        <x:v>34048</x:v>
      </x:c>
      <x:c r="I7" s="24" t="n">
        <x:f>IF(B7&gt;0,H7/B7,"")</x:f>
        <x:v>0.8612769402003441</x:v>
      </x:c>
      <x:c r="J7" s="22" t="n">
        <x:v>36563</x:v>
      </x:c>
      <x:c r="K7" s="24" t="n">
        <x:f>IF(B7&gt;0,J7/B7,"")</x:f>
        <x:v>0.9248962865526662</x:v>
      </x:c>
      <x:c r="L7" s="26" t="n">
        <x:v>2.698573307700091</x:v>
      </x:c>
      <x:c r="M7" s="26" t="n">
        <x:v>2.6671051300212487</x:v>
      </x:c>
      <x:c r="N7" s="22" t="n">
        <x:v>2773.543028432662</x:v>
      </x:c>
      <x:c r="O7" s="26" t="n">
        <x:v>9.43110635406478</x:v>
      </x:c>
      <x:c r="P7" s="2"/>
      <x:c r="Q7" s="2"/>
      <x:c r="R7" s="2"/>
      <x:c r="S7" s="2"/>
      <x:c r="T7" s="2" t="str">
        <x:v>2026-07</x:v>
      </x:c>
      <x:c r="U7" s="31" t="n">
        <x:f>F39</x:f>
        <x:v>0.26170150132469827</x:v>
      </x:c>
      <x:c r="V7" s="31" t="n">
        <x:f>F43</x:f>
        <x:v>0.43260880231588245</x:v>
      </x:c>
    </x:row>
    <x:row r="8" ht="25" customHeight="1">
      <x:c r="A8" s="18" t="str">
        <x:v>额度不变</x:v>
      </x:c>
      <x:c r="B8" s="21" t="n">
        <x:v>9358</x:v>
      </x:c>
      <x:c r="C8" s="21" t="n">
        <x:v>7122</x:v>
      </x:c>
      <x:c r="D8" s="21" t="n">
        <x:v>4683</x:v>
      </x:c>
      <x:c r="E8" s="23" t="n">
        <x:f>IF(B8&gt;0,D8/B8,"")</x:f>
        <x:v>0.50042744176106</x:v>
      </x:c>
      <x:c r="F8" s="21" t="n">
        <x:v>7150</x:v>
      </x:c>
      <x:c r="G8" s="23" t="n">
        <x:f>IF(B8&gt;0,F8/B8,"")</x:f>
        <x:v>0.7640521478948493</x:v>
      </x:c>
      <x:c r="H8" s="21" t="n">
        <x:v>8202</x:v>
      </x:c>
      <x:c r="I8" s="23" t="n">
        <x:f>IF(B8&gt;0,H8/B8,"")</x:f>
        <x:v>0.876469331053644</x:v>
      </x:c>
      <x:c r="J8" s="21" t="n">
        <x:v>8741</x:v>
      </x:c>
      <x:c r="K8" s="23" t="n">
        <x:f>IF(B8&gt;0,J8/B8,"")</x:f>
        <x:v>0.9340671083564864</x:v>
      </x:c>
      <x:c r="L8" s="25" t="n">
        <x:v>2.3797820047018594</x:v>
      </x:c>
      <x:c r="M8" s="25" t="n">
        <x:v>2.9118401367813633</x:v>
      </x:c>
      <x:c r="N8" s="21" t="n">
        <x:v>885.5928617225903</x:v>
      </x:c>
      <x:c r="O8" s="25" t="n">
        <x:v>9.357163834865</x:v>
      </x:c>
      <x:c r="P8" s="2"/>
      <x:c r="Q8" s="2"/>
      <x:c r="R8" s="2"/>
      <x:c r="S8" s="2"/>
      <x:c r="T8" s="2" t="str">
        <x:v>2026-08</x:v>
      </x:c>
      <x:c r="U8" s="31" t="n">
        <x:f>F44</x:f>
        <x:v>0.22545811518324607</x:v>
      </x:c>
      <x:c r="V8" s="31" t="n">
        <x:f>F48</x:f>
        <x:v>0.4136414766336026</x:v>
      </x:c>
    </x:row>
    <x:row r="9" ht="25" customHeight="1">
      <x:c r="A9" s="19" t="str">
        <x:v>额度降低</x:v>
      </x:c>
      <x:c r="B9" s="22" t="n">
        <x:v>29883</x:v>
      </x:c>
      <x:c r="C9" s="22" t="n">
        <x:v>23663</x:v>
      </x:c>
      <x:c r="D9" s="22" t="n">
        <x:v>12778</x:v>
      </x:c>
      <x:c r="E9" s="24" t="n">
        <x:f>IF(B9&gt;0,D9/B9,"")</x:f>
        <x:v>0.4276009771441957</x:v>
      </x:c>
      <x:c r="F9" s="22" t="n">
        <x:v>20863</x:v>
      </x:c>
      <x:c r="G9" s="24" t="n">
        <x:f>IF(B9&gt;0,F9/B9,"")</x:f>
        <x:v>0.6981561422882575</x:v>
      </x:c>
      <x:c r="H9" s="22" t="n">
        <x:v>26228</x:v>
      </x:c>
      <x:c r="I9" s="24" t="n">
        <x:f>IF(B9&gt;0,H9/B9,"")</x:f>
        <x:v>0.8776896563263394</x:v>
      </x:c>
      <x:c r="J9" s="22" t="n">
        <x:v>27922</x:v>
      </x:c>
      <x:c r="K9" s="24" t="n">
        <x:f>IF(B9&gt;0,J9/B9,"")</x:f>
        <x:v>0.9343774052136666</x:v>
      </x:c>
      <x:c r="L9" s="26" t="n">
        <x:v>2.7203761335876586</x:v>
      </x:c>
      <x:c r="M9" s="26" t="n">
        <x:v>2.9576347756249373</x:v>
      </x:c>
      <x:c r="N9" s="22" t="n">
        <x:v>1683.955426162032</x:v>
      </x:c>
      <x:c r="O9" s="26" t="n">
        <x:v>8.933746184192424</x:v>
      </x:c>
      <x:c r="P9" s="2"/>
      <x:c r="Q9" s="2"/>
      <x:c r="R9" s="2"/>
      <x:c r="S9" s="2"/>
      <x:c r="T9" s="2" t="str">
        <x:v>2026-09</x:v>
      </x:c>
      <x:c r="U9" s="31" t="n">
        <x:f>F49</x:f>
        <x:v>0.22008209662140826</x:v>
      </x:c>
      <x:c r="V9" s="31" t="n">
        <x:f>F53</x:f>
        <x:v>0.4220153519516577</x:v>
      </x:c>
    </x:row>
    <x:row r="10" ht="25" customHeight="1">
      <x:c r="A10" s="18" t="str">
        <x:v>其他T0合计</x:v>
      </x:c>
      <x:c r="B10" s="21" t="n">
        <x:v>78773</x:v>
      </x:c>
      <x:c r="C10" s="21" t="n">
        <x:v>49386</x:v>
      </x:c>
      <x:c r="D10" s="21" t="n">
        <x:v>33835</x:v>
      </x:c>
      <x:c r="E10" s="23" t="n">
        <x:f>IF(B10&gt;0,D10/B10,"")</x:f>
        <x:v>0.42952534497860945</x:v>
      </x:c>
      <x:c r="F10" s="21" t="n">
        <x:v>55168</x:v>
      </x:c>
      <x:c r="G10" s="23" t="n">
        <x:f>IF(B10&gt;0,F10/B10,"")</x:f>
        <x:v>0.7003414875655364</x:v>
      </x:c>
      <x:c r="H10" s="21" t="n">
        <x:v>68478</x:v>
      </x:c>
      <x:c r="I10" s="23" t="n">
        <x:f>IF(B10&gt;0,H10/B10,"")</x:f>
        <x:v>0.8693080116283498</x:v>
      </x:c>
      <x:c r="J10" s="21" t="n">
        <x:v>73226</x:v>
      </x:c>
      <x:c r="K10" s="23" t="n">
        <x:f>IF(B10&gt;0,J10/B10,"")</x:f>
        <x:v>0.9295824711512828</x:v>
      </x:c>
      <x:c r="L10" s="25" t="n">
        <x:v>2.6689728714153325</x:v>
      </x:c>
      <x:c r="M10" s="25" t="n">
        <x:v>2.806393053457403</x:v>
      </x:c>
      <x:c r="N10" s="21" t="n">
        <x:v>2135.918665024818</x:v>
      </x:c>
      <x:c r="O10" s="25" t="n">
        <x:v>9.233645700656036</x:v>
      </x:c>
      <x:c r="P10" s="2"/>
      <x:c r="Q10" s="2"/>
      <x:c r="R10" s="2"/>
      <x:c r="S10" s="2"/>
      <x:c r="T10" s="2"/>
      <x:c r="U10" s="2"/>
      <x:c r="V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</x:row>
    <x:row r="12" ht="25" customHeight="1">
      <x:c r="A12" s="27" t="str">
        <x:v>其他T0合计是三类对照之和，不能再次与三类相加。同一用户可在不同获额时属于不同分组。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</x:row>
    <x:row r="32" ht="25" customHeight="1">
      <x:c r="A32" s="28" t="str">
        <x:v>月度分组结果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</x:row>
    <x:row r="33" ht="58" customHeight="1">
      <x:c r="A33" s="14" t="str">
        <x:v>获额月份</x:v>
      </x:c>
      <x:c r="B33" s="15" t="str">
        <x:v>事件分组</x:v>
      </x:c>
      <x:c r="C33" s="15" t="str">
        <x:v>获额事件数</x:v>
      </x:c>
      <x:c r="D33" s="15" t="str">
        <x:v>去重用户数</x:v>
      </x:c>
      <x:c r="E33" s="15" t="str">
        <x:v>当天提单
事件数</x:v>
      </x:c>
      <x:c r="F33" s="15" t="str">
        <x:v>当天提单率</x:v>
      </x:c>
      <x:c r="G33" s="15" t="str">
        <x:v>D0—D7提单
事件数</x:v>
      </x:c>
      <x:c r="H33" s="15" t="str">
        <x:v>D0—D7提单率</x:v>
      </x:c>
      <x:c r="I33" s="15" t="str">
        <x:v>借款页进页
事件数</x:v>
      </x:c>
      <x:c r="J33" s="15" t="str">
        <x:v>借款页进页率</x:v>
      </x:c>
      <x:c r="K33" s="15" t="str">
        <x:v>有行为记录
事件数</x:v>
      </x:c>
      <x:c r="L33" s="15" t="str">
        <x:v>有行为记录率</x:v>
      </x:c>
      <x:c r="M33" s="15" t="str">
        <x:v>前7天平均
活跃天数</x:v>
      </x:c>
      <x:c r="N33" s="15" t="str">
        <x:v>平均历史
借款次数</x:v>
      </x:c>
      <x:c r="O33" s="15" t="str">
        <x:v>平均本次额度
（MXN）</x:v>
      </x:c>
      <x:c r="P33" s="16" t="str">
        <x:v>当天平均
观察小时</x:v>
      </x:c>
      <x:c r="Q33" s="2"/>
      <x:c r="R33" s="2"/>
      <x:c r="S33" s="2"/>
      <x:c r="T33" s="2"/>
      <x:c r="U33" s="2"/>
      <x:c r="V33" s="2"/>
    </x:row>
    <x:row r="34" ht="25" customHeight="1">
      <x:c r="A34" s="29" t="d">
        <x:v>2026-06-01T00:00:00.000Z</x:v>
      </x:c>
      <x:c r="B34" s="17" t="str">
        <x:v>提额≥3000</x:v>
      </x:c>
      <x:c r="C34" s="21" t="n">
        <x:v>2689</x:v>
      </x:c>
      <x:c r="D34" s="21" t="n">
        <x:v>2544</x:v>
      </x:c>
      <x:c r="E34" s="21" t="n">
        <x:v>786</x:v>
      </x:c>
      <x:c r="F34" s="23" t="n">
        <x:f>IF(C34&gt;0,E34/C34,"")</x:f>
        <x:v>0.2923019709929342</x:v>
      </x:c>
      <x:c r="G34" s="21" t="n">
        <x:v>1516</x:v>
      </x:c>
      <x:c r="H34" s="23" t="n">
        <x:f>IF(C34&gt;0,G34/C34,"")</x:f>
        <x:v>0.56377835626627</x:v>
      </x:c>
      <x:c r="I34" s="21" t="n">
        <x:v>2277</x:v>
      </x:c>
      <x:c r="J34" s="23" t="n">
        <x:f>IF(C34&gt;0,I34/C34,"")</x:f>
        <x:v>0.8467831907772406</x:v>
      </x:c>
      <x:c r="K34" s="21" t="n">
        <x:v>2459</x:v>
      </x:c>
      <x:c r="L34" s="23" t="n">
        <x:f>IF(C34&gt;0,K34/C34,"")</x:f>
        <x:v>0.9144663443659353</x:v>
      </x:c>
      <x:c r="M34" s="25" t="n">
        <x:v>2.960952026775753</x:v>
      </x:c>
      <x:c r="N34" s="25" t="n">
        <x:v>4.546299739680179</x:v>
      </x:c>
      <x:c r="O34" s="21" t="n">
        <x:v>10648.8557084418</x:v>
      </x:c>
      <x:c r="P34" s="25" t="n">
        <x:v>9.37763160613198</x:v>
      </x:c>
      <x:c r="Q34" s="2"/>
      <x:c r="R34" s="2"/>
      <x:c r="S34" s="2"/>
      <x:c r="T34" s="2"/>
      <x:c r="U34" s="2"/>
      <x:c r="V34" s="2"/>
    </x:row>
    <x:row r="35" ht="25" customHeight="1">
      <x:c r="A35" s="30" t="d">
        <x:v>2026-06-01T00:00:00.000Z</x:v>
      </x:c>
      <x:c r="B35" s="20" t="str">
        <x:v>提额0至3000</x:v>
      </x:c>
      <x:c r="C35" s="22" t="n">
        <x:v>9622</x:v>
      </x:c>
      <x:c r="D35" s="22" t="n">
        <x:v>8511</x:v>
      </x:c>
      <x:c r="E35" s="22" t="n">
        <x:v>4119</x:v>
      </x:c>
      <x:c r="F35" s="24" t="n">
        <x:f>IF(C35&gt;0,E35/C35,"")</x:f>
        <x:v>0.4280814799418</x:v>
      </x:c>
      <x:c r="G35" s="22" t="n">
        <x:v>6742</x:v>
      </x:c>
      <x:c r="H35" s="24" t="n">
        <x:f>IF(C35&gt;0,G35/C35,"")</x:f>
        <x:v>0.7006859280814799</x:v>
      </x:c>
      <x:c r="I35" s="22" t="n">
        <x:v>8298</x:v>
      </x:c>
      <x:c r="J35" s="24" t="n">
        <x:f>IF(C35&gt;0,I35/C35,"")</x:f>
        <x:v>0.8623986697152359</x:v>
      </x:c>
      <x:c r="K35" s="22" t="n">
        <x:v>8881</x:v>
      </x:c>
      <x:c r="L35" s="24" t="n">
        <x:f>IF(C35&gt;0,K35/C35,"")</x:f>
        <x:v>0.9229889835792975</x:v>
      </x:c>
      <x:c r="M35" s="26" t="n">
        <x:v>2.6191020577842443</x:v>
      </x:c>
      <x:c r="N35" s="26" t="n">
        <x:v>2.803679068800665</x:v>
      </x:c>
      <x:c r="O35" s="22" t="n">
        <x:v>2578.799106214924</x:v>
      </x:c>
      <x:c r="P35" s="26" t="n">
        <x:v>9.499424842375113</x:v>
      </x:c>
      <x:c r="Q35" s="2"/>
      <x:c r="R35" s="2"/>
      <x:c r="S35" s="2"/>
      <x:c r="T35" s="2"/>
      <x:c r="U35" s="2"/>
      <x:c r="V35" s="2"/>
    </x:row>
    <x:row r="36" ht="25" customHeight="1">
      <x:c r="A36" s="29" t="d">
        <x:v>2026-06-01T00:00:00.000Z</x:v>
      </x:c>
      <x:c r="B36" s="17" t="str">
        <x:v>额度不变</x:v>
      </x:c>
      <x:c r="C36" s="21" t="n">
        <x:v>3179</x:v>
      </x:c>
      <x:c r="D36" s="21" t="n">
        <x:v>2581</x:v>
      </x:c>
      <x:c r="E36" s="21" t="n">
        <x:v>1645</x:v>
      </x:c>
      <x:c r="F36" s="23" t="n">
        <x:f>IF(C36&gt;0,E36/C36,"")</x:f>
        <x:v>0.5174583202264863</x:v>
      </x:c>
      <x:c r="G36" s="21" t="n">
        <x:v>2450</x:v>
      </x:c>
      <x:c r="H36" s="23" t="n">
        <x:f>IF(C36&gt;0,G36/C36,"")</x:f>
        <x:v>0.7706826045926392</x:v>
      </x:c>
      <x:c r="I36" s="21" t="n">
        <x:v>2826</x:v>
      </x:c>
      <x:c r="J36" s="23" t="n">
        <x:f>IF(C36&gt;0,I36/C36,"")</x:f>
        <x:v>0.8889587920729789</x:v>
      </x:c>
      <x:c r="K36" s="21" t="n">
        <x:v>2988</x:v>
      </x:c>
      <x:c r="L36" s="23" t="n">
        <x:f>IF(C36&gt;0,K36/C36,"")</x:f>
        <x:v>0.9399182132746147</x:v>
      </x:c>
      <x:c r="M36" s="25" t="n">
        <x:v>2.4561182761874805</x:v>
      </x:c>
      <x:c r="N36" s="25" t="n">
        <x:v>2.88109468386285</x:v>
      </x:c>
      <x:c r="O36" s="21" t="n">
        <x:v>816.7392261717521</x:v>
      </x:c>
      <x:c r="P36" s="25" t="n">
        <x:v>9.476942259969942</x:v>
      </x:c>
      <x:c r="Q36" s="2"/>
      <x:c r="R36" s="2"/>
      <x:c r="S36" s="2"/>
      <x:c r="T36" s="2"/>
      <x:c r="U36" s="2"/>
      <x:c r="V36" s="2"/>
    </x:row>
    <x:row r="37" ht="25" customHeight="1">
      <x:c r="A37" s="30" t="d">
        <x:v>2026-06-01T00:00:00.000Z</x:v>
      </x:c>
      <x:c r="B37" s="20" t="str">
        <x:v>额度降低</x:v>
      </x:c>
      <x:c r="C37" s="22" t="n">
        <x:v>7664</x:v>
      </x:c>
      <x:c r="D37" s="22" t="n">
        <x:v>6605</x:v>
      </x:c>
      <x:c r="E37" s="22" t="n">
        <x:v>3412</x:v>
      </x:c>
      <x:c r="F37" s="24" t="n">
        <x:f>IF(C37&gt;0,E37/C37,"")</x:f>
        <x:v>0.4451983298538622</x:v>
      </x:c>
      <x:c r="G37" s="22" t="n">
        <x:v>5458</x:v>
      </x:c>
      <x:c r="H37" s="24" t="n">
        <x:f>IF(C37&gt;0,G37/C37,"")</x:f>
        <x:v>0.712160751565762</x:v>
      </x:c>
      <x:c r="I37" s="22" t="n">
        <x:v>6756</x:v>
      </x:c>
      <x:c r="J37" s="24" t="n">
        <x:f>IF(C37&gt;0,I37/C37,"")</x:f>
        <x:v>0.8815240083507306</x:v>
      </x:c>
      <x:c r="K37" s="22" t="n">
        <x:v>7164</x:v>
      </x:c>
      <x:c r="L37" s="24" t="n">
        <x:f>IF(C37&gt;0,K37/C37,"")</x:f>
        <x:v>0.9347599164926931</x:v>
      </x:c>
      <x:c r="M37" s="26" t="n">
        <x:v>2.7677453027139873</x:v>
      </x:c>
      <x:c r="N37" s="26" t="n">
        <x:v>3.1240866388308977</x:v>
      </x:c>
      <x:c r="O37" s="22" t="n">
        <x:v>1705.8602557411273</x:v>
      </x:c>
      <x:c r="P37" s="26" t="n">
        <x:v>8.912037230340989</x:v>
      </x:c>
      <x:c r="Q37" s="2"/>
      <x:c r="R37" s="2"/>
      <x:c r="S37" s="2"/>
      <x:c r="T37" s="2"/>
      <x:c r="U37" s="2"/>
      <x:c r="V37" s="2"/>
    </x:row>
    <x:row r="38" ht="25" customHeight="1">
      <x:c r="A38" s="29" t="d">
        <x:v>2026-06-01T00:00:00.000Z</x:v>
      </x:c>
      <x:c r="B38" s="17" t="str">
        <x:v>其他T0合计</x:v>
      </x:c>
      <x:c r="C38" s="21" t="n">
        <x:v>20465</x:v>
      </x:c>
      <x:c r="D38" s="21" t="n">
        <x:v>15619</x:v>
      </x:c>
      <x:c r="E38" s="21" t="n">
        <x:v>9176</x:v>
      </x:c>
      <x:c r="F38" s="23" t="n">
        <x:f>IF(C38&gt;0,E38/C38,"")</x:f>
        <x:v>0.4483752748595162</x:v>
      </x:c>
      <x:c r="G38" s="21" t="n">
        <x:v>14650</x:v>
      </x:c>
      <x:c r="H38" s="23" t="n">
        <x:f>IF(C38&gt;0,G38/C38,"")</x:f>
        <x:v>0.7158563400928414</x:v>
      </x:c>
      <x:c r="I38" s="21" t="n">
        <x:v>17880</x:v>
      </x:c>
      <x:c r="J38" s="23" t="n">
        <x:f>IF(C38&gt;0,I38/C38,"")</x:f>
        <x:v>0.8736867823112632</x:v>
      </x:c>
      <x:c r="K38" s="21" t="n">
        <x:v>19033</x:v>
      </x:c>
      <x:c r="L38" s="23" t="n">
        <x:f>IF(C38&gt;0,K38/C38,"")</x:f>
        <x:v>0.9300268751526998</x:v>
      </x:c>
      <x:c r="M38" s="25" t="n">
        <x:v>2.6494502809675056</x:v>
      </x:c>
      <x:c r="N38" s="25" t="n">
        <x:v>2.935695089176643</x:v>
      </x:c>
      <x:c r="O38" s="21" t="n">
        <x:v>1978.1740532616664</x:v>
      </x:c>
      <x:c r="P38" s="25" t="n">
        <x:v>9.275959863723974</x:v>
      </x:c>
      <x:c r="Q38" s="2"/>
      <x:c r="R38" s="2"/>
      <x:c r="S38" s="2"/>
      <x:c r="T38" s="2"/>
      <x:c r="U38" s="2"/>
      <x:c r="V38" s="2"/>
    </x:row>
    <x:row r="39" ht="25" customHeight="1">
      <x:c r="A39" s="30" t="d">
        <x:v>2026-07-01T00:00:00.000Z</x:v>
      </x:c>
      <x:c r="B39" s="20" t="str">
        <x:v>提额≥3000</x:v>
      </x:c>
      <x:c r="C39" s="22" t="n">
        <x:v>3397</x:v>
      </x:c>
      <x:c r="D39" s="22" t="n">
        <x:v>3256</x:v>
      </x:c>
      <x:c r="E39" s="22" t="n">
        <x:v>889</x:v>
      </x:c>
      <x:c r="F39" s="24" t="n">
        <x:f>IF(C39&gt;0,E39/C39,"")</x:f>
        <x:v>0.26170150132469827</x:v>
      </x:c>
      <x:c r="G39" s="22" t="n">
        <x:v>1754</x:v>
      </x:c>
      <x:c r="H39" s="24" t="n">
        <x:f>IF(C39&gt;0,G39/C39,"")</x:f>
        <x:v>0.5163379452458051</x:v>
      </x:c>
      <x:c r="I39" s="22" t="n">
        <x:v>2893</x:v>
      </x:c>
      <x:c r="J39" s="24" t="n">
        <x:f>IF(C39&gt;0,I39/C39,"")</x:f>
        <x:v>0.8516337945245805</x:v>
      </x:c>
      <x:c r="K39" s="22" t="n">
        <x:v>3106</x:v>
      </x:c>
      <x:c r="L39" s="24" t="n">
        <x:f>IF(C39&gt;0,K39/C39,"")</x:f>
        <x:v>0.9143361789814543</x:v>
      </x:c>
      <x:c r="M39" s="26" t="n">
        <x:v>3.069473064468649</x:v>
      </x:c>
      <x:c r="N39" s="26" t="n">
        <x:v>4.407418310273771</x:v>
      </x:c>
      <x:c r="O39" s="22" t="n">
        <x:v>10388.280836031792</x:v>
      </x:c>
      <x:c r="P39" s="26" t="n">
        <x:v>9.43477978935662</x:v>
      </x:c>
      <x:c r="Q39" s="2"/>
      <x:c r="R39" s="2"/>
      <x:c r="S39" s="2"/>
      <x:c r="T39" s="2"/>
      <x:c r="U39" s="2"/>
      <x:c r="V39" s="2"/>
    </x:row>
    <x:row r="40" ht="25" customHeight="1">
      <x:c r="A40" s="29" t="d">
        <x:v>2026-07-01T00:00:00.000Z</x:v>
      </x:c>
      <x:c r="B40" s="17" t="str">
        <x:v>提额0至3000</x:v>
      </x:c>
      <x:c r="C40" s="21" t="n">
        <x:v>10371</x:v>
      </x:c>
      <x:c r="D40" s="21" t="n">
        <x:v>9129</x:v>
      </x:c>
      <x:c r="E40" s="21" t="n">
        <x:v>4293</x:v>
      </x:c>
      <x:c r="F40" s="23" t="n">
        <x:f>IF(C40&gt;0,E40/C40,"")</x:f>
        <x:v>0.4139427249059878</x:v>
      </x:c>
      <x:c r="G40" s="21" t="n">
        <x:v>7129</x:v>
      </x:c>
      <x:c r="H40" s="23" t="n">
        <x:f>IF(C40&gt;0,G40/C40,"")</x:f>
        <x:v>0.6873975508629833</x:v>
      </x:c>
      <x:c r="I40" s="21" t="n">
        <x:v>8904</x:v>
      </x:c>
      <x:c r="J40" s="23" t="n">
        <x:f>IF(C40&gt;0,I40/C40,"")</x:f>
        <x:v>0.8585478738790859</x:v>
      </x:c>
      <x:c r="K40" s="21" t="n">
        <x:v>9555</x:v>
      </x:c>
      <x:c r="L40" s="23" t="n">
        <x:f>IF(C40&gt;0,K40/C40,"")</x:f>
        <x:v>0.9213190627711889</x:v>
      </x:c>
      <x:c r="M40" s="25" t="n">
        <x:v>2.7796740912158904</x:v>
      </x:c>
      <x:c r="N40" s="25" t="n">
        <x:v>2.8130363513643815</x:v>
      </x:c>
      <x:c r="O40" s="21" t="n">
        <x:v>2835.4598399382894</x:v>
      </x:c>
      <x:c r="P40" s="25" t="n">
        <x:v>9.45711093433613</x:v>
      </x:c>
      <x:c r="Q40" s="2"/>
      <x:c r="R40" s="2"/>
      <x:c r="S40" s="2"/>
      <x:c r="T40" s="2"/>
      <x:c r="U40" s="2"/>
      <x:c r="V40" s="2"/>
    </x:row>
    <x:row r="41" ht="25" customHeight="1">
      <x:c r="A41" s="30" t="d">
        <x:v>2026-07-01T00:00:00.000Z</x:v>
      </x:c>
      <x:c r="B41" s="20" t="str">
        <x:v>额度不变</x:v>
      </x:c>
      <x:c r="C41" s="22" t="n">
        <x:v>2364</x:v>
      </x:c>
      <x:c r="D41" s="22" t="n">
        <x:v>1982</x:v>
      </x:c>
      <x:c r="E41" s="22" t="n">
        <x:v>1136</x:v>
      </x:c>
      <x:c r="F41" s="24" t="n">
        <x:f>IF(C41&gt;0,E41/C41,"")</x:f>
        <x:v>0.4805414551607445</x:v>
      </x:c>
      <x:c r="G41" s="22" t="n">
        <x:v>1800</x:v>
      </x:c>
      <x:c r="H41" s="24" t="n">
        <x:f>IF(C41&gt;0,G41/C41,"")</x:f>
        <x:v>0.7614213197969543</x:v>
      </x:c>
      <x:c r="I41" s="22" t="n">
        <x:v>2037</x:v>
      </x:c>
      <x:c r="J41" s="24" t="n">
        <x:f>IF(C41&gt;0,I41/C41,"")</x:f>
        <x:v>0.8616751269035533</x:v>
      </x:c>
      <x:c r="K41" s="22" t="n">
        <x:v>2193</x:v>
      </x:c>
      <x:c r="L41" s="24" t="n">
        <x:f>IF(C41&gt;0,K41/C41,"")</x:f>
        <x:v>0.9276649746192893</x:v>
      </x:c>
      <x:c r="M41" s="26" t="n">
        <x:v>2.4107445008460235</x:v>
      </x:c>
      <x:c r="N41" s="26" t="n">
        <x:v>2.9344331641285955</x:v>
      </x:c>
      <x:c r="O41" s="22" t="n">
        <x:v>900.1053299492386</x:v>
      </x:c>
      <x:c r="P41" s="26" t="n">
        <x:v>9.246539175596917</x:v>
      </x:c>
      <x:c r="Q41" s="2"/>
      <x:c r="R41" s="2"/>
      <x:c r="S41" s="2"/>
      <x:c r="T41" s="2"/>
      <x:c r="U41" s="2"/>
      <x:c r="V41" s="2"/>
    </x:row>
    <x:row r="42" ht="25" customHeight="1">
      <x:c r="A42" s="29" t="d">
        <x:v>2026-07-01T00:00:00.000Z</x:v>
      </x:c>
      <x:c r="B42" s="17" t="str">
        <x:v>额度降低</x:v>
      </x:c>
      <x:c r="C42" s="21" t="n">
        <x:v>7646</x:v>
      </x:c>
      <x:c r="D42" s="21" t="n">
        <x:v>6703</x:v>
      </x:c>
      <x:c r="E42" s="21" t="n">
        <x:v>3388</x:v>
      </x:c>
      <x:c r="F42" s="23" t="n">
        <x:f>IF(C42&gt;0,E42/C42,"")</x:f>
        <x:v>0.44310750719330366</x:v>
      </x:c>
      <x:c r="G42" s="21" t="n">
        <x:v>5429</x:v>
      </x:c>
      <x:c r="H42" s="23" t="n">
        <x:f>IF(C42&gt;0,G42/C42,"")</x:f>
        <x:v>0.7100444676955271</x:v>
      </x:c>
      <x:c r="I42" s="21" t="n">
        <x:v>6707</x:v>
      </x:c>
      <x:c r="J42" s="23" t="n">
        <x:f>IF(C42&gt;0,I42/C42,"")</x:f>
        <x:v>0.8771906879414073</x:v>
      </x:c>
      <x:c r="K42" s="21" t="n">
        <x:v>7133</x:v>
      </x:c>
      <x:c r="L42" s="23" t="n">
        <x:f>IF(C42&gt;0,K42/C42,"")</x:f>
        <x:v>0.932906094690034</x:v>
      </x:c>
      <x:c r="M42" s="25" t="n">
        <x:v>2.842662830238033</x:v>
      </x:c>
      <x:c r="N42" s="25" t="n">
        <x:v>3.0201412503269682</x:v>
      </x:c>
      <x:c r="O42" s="21" t="n">
        <x:v>1791.8863458017263</x:v>
      </x:c>
      <x:c r="P42" s="25" t="n">
        <x:v>9.008608168395964</x:v>
      </x:c>
      <x:c r="Q42" s="2"/>
      <x:c r="R42" s="2"/>
      <x:c r="S42" s="2"/>
      <x:c r="T42" s="2"/>
      <x:c r="U42" s="2"/>
      <x:c r="V42" s="2"/>
    </x:row>
    <x:row r="43" ht="25" customHeight="1">
      <x:c r="A43" s="30" t="d">
        <x:v>2026-07-01T00:00:00.000Z</x:v>
      </x:c>
      <x:c r="B43" s="20" t="str">
        <x:v>其他T0合计</x:v>
      </x:c>
      <x:c r="C43" s="22" t="n">
        <x:v>20381</x:v>
      </x:c>
      <x:c r="D43" s="22" t="n">
        <x:v>15851</x:v>
      </x:c>
      <x:c r="E43" s="22" t="n">
        <x:v>8817</x:v>
      </x:c>
      <x:c r="F43" s="24" t="n">
        <x:f>IF(C43&gt;0,E43/C43,"")</x:f>
        <x:v>0.43260880231588245</x:v>
      </x:c>
      <x:c r="G43" s="22" t="n">
        <x:v>14358</x:v>
      </x:c>
      <x:c r="H43" s="24" t="n">
        <x:f>IF(C43&gt;0,G43/C43,"")</x:f>
        <x:v>0.7044796624306953</x:v>
      </x:c>
      <x:c r="I43" s="22" t="n">
        <x:v>17648</x:v>
      </x:c>
      <x:c r="J43" s="24" t="n">
        <x:f>IF(C43&gt;0,I43/C43,"")</x:f>
        <x:v>0.8659045189146755</x:v>
      </x:c>
      <x:c r="K43" s="22" t="n">
        <x:v>18881</x:v>
      </x:c>
      <x:c r="L43" s="24" t="n">
        <x:f>IF(C43&gt;0,K43/C43,"")</x:f>
        <x:v>0.9264020411167264</x:v>
      </x:c>
      <x:c r="M43" s="26" t="n">
        <x:v>2.7605122417938275</x:v>
      </x:c>
      <x:c r="N43" s="26" t="n">
        <x:v>2.9048133065109663</x:v>
      </x:c>
      <x:c r="O43" s="22" t="n">
        <x:v>2219.477258230705</x:v>
      </x:c>
      <x:c r="P43" s="26" t="n">
        <x:v>9.26442932960437</x:v>
      </x:c>
      <x:c r="Q43" s="2"/>
      <x:c r="R43" s="2"/>
      <x:c r="S43" s="2"/>
      <x:c r="T43" s="2"/>
      <x:c r="U43" s="2"/>
      <x:c r="V43" s="2"/>
    </x:row>
    <x:row r="44" ht="25" customHeight="1">
      <x:c r="A44" s="29" t="d">
        <x:v>2026-08-01T00:00:00.000Z</x:v>
      </x:c>
      <x:c r="B44" s="17" t="str">
        <x:v>提额≥3000</x:v>
      </x:c>
      <x:c r="C44" s="21" t="n">
        <x:v>3056</x:v>
      </x:c>
      <x:c r="D44" s="21" t="n">
        <x:v>2936</x:v>
      </x:c>
      <x:c r="E44" s="21" t="n">
        <x:v>689</x:v>
      </x:c>
      <x:c r="F44" s="23" t="n">
        <x:f>IF(C44&gt;0,E44/C44,"")</x:f>
        <x:v>0.22545811518324607</x:v>
      </x:c>
      <x:c r="G44" s="21" t="n">
        <x:v>1482</x:v>
      </x:c>
      <x:c r="H44" s="23" t="n">
        <x:f>IF(C44&gt;0,G44/C44,"")</x:f>
        <x:v>0.4849476439790576</x:v>
      </x:c>
      <x:c r="I44" s="21" t="n">
        <x:v>2578</x:v>
      </x:c>
      <x:c r="J44" s="23" t="n">
        <x:f>IF(C44&gt;0,I44/C44,"")</x:f>
        <x:v>0.8435863874345549</x:v>
      </x:c>
      <x:c r="K44" s="21" t="n">
        <x:v>2808</x:v>
      </x:c>
      <x:c r="L44" s="23" t="n">
        <x:f>IF(C44&gt;0,K44/C44,"")</x:f>
        <x:v>0.918848167539267</x:v>
      </x:c>
      <x:c r="M44" s="25" t="n">
        <x:v>3.017670157068063</x:v>
      </x:c>
      <x:c r="N44" s="25" t="n">
        <x:v>4.384816753926701</x:v>
      </x:c>
      <x:c r="O44" s="21" t="n">
        <x:v>10589.55137434555</x:v>
      </x:c>
      <x:c r="P44" s="25" t="n">
        <x:v>9.279334096858639</x:v>
      </x:c>
      <x:c r="Q44" s="2"/>
      <x:c r="R44" s="2"/>
      <x:c r="S44" s="2"/>
      <x:c r="T44" s="2"/>
      <x:c r="U44" s="2"/>
      <x:c r="V44" s="2"/>
    </x:row>
    <x:row r="45" ht="25" customHeight="1">
      <x:c r="A45" s="30" t="d">
        <x:v>2026-08-01T00:00:00.000Z</x:v>
      </x:c>
      <x:c r="B45" s="20" t="str">
        <x:v>提额0至3000</x:v>
      </x:c>
      <x:c r="C45" s="22" t="n">
        <x:v>9747</x:v>
      </x:c>
      <x:c r="D45" s="22" t="n">
        <x:v>8714</x:v>
      </x:c>
      <x:c r="E45" s="22" t="n">
        <x:v>3907</x:v>
      </x:c>
      <x:c r="F45" s="24" t="n">
        <x:f>IF(C45&gt;0,E45/C45,"")</x:f>
        <x:v>0.4008412844977942</x:v>
      </x:c>
      <x:c r="G45" s="22" t="n">
        <x:v>6668</x:v>
      </x:c>
      <x:c r="H45" s="24" t="n">
        <x:f>IF(C45&gt;0,G45/C45,"")</x:f>
        <x:v>0.6841079306453267</x:v>
      </x:c>
      <x:c r="I45" s="22" t="n">
        <x:v>8417</x:v>
      </x:c>
      <x:c r="J45" s="24" t="n">
        <x:f>IF(C45&gt;0,I45/C45,"")</x:f>
        <x:v>0.8635477582846004</x:v>
      </x:c>
      <x:c r="K45" s="22" t="n">
        <x:v>9011</x:v>
      </x:c>
      <x:c r="L45" s="24" t="n">
        <x:f>IF(C45&gt;0,K45/C45,"")</x:f>
        <x:v>0.924489586539448</x:v>
      </x:c>
      <x:c r="M45" s="26" t="n">
        <x:v>2.6839027393044015</x:v>
      </x:c>
      <x:c r="N45" s="26" t="n">
        <x:v>2.600800246229609</x:v>
      </x:c>
      <x:c r="O45" s="22" t="n">
        <x:v>2830.4404432132965</x:v>
      </x:c>
      <x:c r="P45" s="26" t="n">
        <x:v>9.422434794751663</x:v>
      </x:c>
      <x:c r="Q45" s="2"/>
      <x:c r="R45" s="2"/>
      <x:c r="S45" s="2"/>
      <x:c r="T45" s="2"/>
      <x:c r="U45" s="2"/>
      <x:c r="V45" s="2"/>
    </x:row>
    <x:row r="46" ht="25" customHeight="1">
      <x:c r="A46" s="29" t="d">
        <x:v>2026-08-01T00:00:00.000Z</x:v>
      </x:c>
      <x:c r="B46" s="17" t="str">
        <x:v>额度不变</x:v>
      </x:c>
      <x:c r="C46" s="21" t="n">
        <x:v>1854</x:v>
      </x:c>
      <x:c r="D46" s="21" t="n">
        <x:v>1580</x:v>
      </x:c>
      <x:c r="E46" s="21" t="n">
        <x:v>911</x:v>
      </x:c>
      <x:c r="F46" s="23" t="n">
        <x:f>IF(C46&gt;0,E46/C46,"")</x:f>
        <x:v>0.4913700107874865</x:v>
      </x:c>
      <x:c r="G46" s="21" t="n">
        <x:v>1404</x:v>
      </x:c>
      <x:c r="H46" s="23" t="n">
        <x:f>IF(C46&gt;0,G46/C46,"")</x:f>
        <x:v>0.7572815533980582</x:v>
      </x:c>
      <x:c r="I46" s="21" t="n">
        <x:v>1616</x:v>
      </x:c>
      <x:c r="J46" s="23" t="n">
        <x:f>IF(C46&gt;0,I46/C46,"")</x:f>
        <x:v>0.8716289104638619</x:v>
      </x:c>
      <x:c r="K46" s="21" t="n">
        <x:v>1722</x:v>
      </x:c>
      <x:c r="L46" s="23" t="n">
        <x:f>IF(C46&gt;0,K46/C46,"")</x:f>
        <x:v>0.9288025889967637</x:v>
      </x:c>
      <x:c r="M46" s="25" t="n">
        <x:v>2.320927723840345</x:v>
      </x:c>
      <x:c r="N46" s="25" t="n">
        <x:v>2.9644012944983817</x:v>
      </x:c>
      <x:c r="O46" s="21" t="n">
        <x:v>880.2955771305286</x:v>
      </x:c>
      <x:c r="P46" s="25" t="n">
        <x:v>9.447335640656839</x:v>
      </x:c>
      <x:c r="Q46" s="2"/>
      <x:c r="R46" s="2"/>
      <x:c r="S46" s="2"/>
      <x:c r="T46" s="2"/>
      <x:c r="U46" s="2"/>
      <x:c r="V46" s="2"/>
    </x:row>
    <x:row r="47" ht="25" customHeight="1">
      <x:c r="A47" s="30" t="d">
        <x:v>2026-08-01T00:00:00.000Z</x:v>
      </x:c>
      <x:c r="B47" s="20" t="str">
        <x:v>额度降低</x:v>
      </x:c>
      <x:c r="C47" s="22" t="n">
        <x:v>7957</x:v>
      </x:c>
      <x:c r="D47" s="22" t="n">
        <x:v>7094</x:v>
      </x:c>
      <x:c r="E47" s="22" t="n">
        <x:v>3272</x:v>
      </x:c>
      <x:c r="F47" s="24" t="n">
        <x:f>IF(C47&gt;0,E47/C47,"")</x:f>
        <x:v>0.41121025512127685</x:v>
      </x:c>
      <x:c r="G47" s="22" t="n">
        <x:v>5437</x:v>
      </x:c>
      <x:c r="H47" s="24" t="n">
        <x:f>IF(C47&gt;0,G47/C47,"")</x:f>
        <x:v>0.6832977252733442</x:v>
      </x:c>
      <x:c r="I47" s="22" t="n">
        <x:v>6974</x:v>
      </x:c>
      <x:c r="J47" s="24" t="n">
        <x:f>IF(C47&gt;0,I47/C47,"")</x:f>
        <x:v>0.8764609777554354</x:v>
      </x:c>
      <x:c r="K47" s="22" t="n">
        <x:v>7414</x:v>
      </x:c>
      <x:c r="L47" s="24" t="n">
        <x:f>IF(C47&gt;0,K47/C47,"")</x:f>
        <x:v>0.9317582003267563</x:v>
      </x:c>
      <x:c r="M47" s="26" t="n">
        <x:v>2.637174814628629</x:v>
      </x:c>
      <x:c r="N47" s="26" t="n">
        <x:v>3.0378283272590174</x:v>
      </x:c>
      <x:c r="O47" s="22" t="n">
        <x:v>1676.8703028779692</x:v>
      </x:c>
      <x:c r="P47" s="26" t="n">
        <x:v>8.911308805663777</x:v>
      </x:c>
      <x:c r="Q47" s="2"/>
      <x:c r="R47" s="2"/>
      <x:c r="S47" s="2"/>
      <x:c r="T47" s="2"/>
      <x:c r="U47" s="2"/>
      <x:c r="V47" s="2"/>
    </x:row>
    <x:row r="48" ht="25" customHeight="1">
      <x:c r="A48" s="29" t="d">
        <x:v>2026-08-01T00:00:00.000Z</x:v>
      </x:c>
      <x:c r="B48" s="17" t="str">
        <x:v>其他T0合计</x:v>
      </x:c>
      <x:c r="C48" s="21" t="n">
        <x:v>19558</x:v>
      </x:c>
      <x:c r="D48" s="21" t="n">
        <x:v>15561</x:v>
      </x:c>
      <x:c r="E48" s="21" t="n">
        <x:v>8090</x:v>
      </x:c>
      <x:c r="F48" s="23" t="n">
        <x:f>IF(C48&gt;0,E48/C48,"")</x:f>
        <x:v>0.4136414766336026</x:v>
      </x:c>
      <x:c r="G48" s="21" t="n">
        <x:v>13509</x:v>
      </x:c>
      <x:c r="H48" s="23" t="n">
        <x:f>IF(C48&gt;0,G48/C48,"")</x:f>
        <x:v>0.6907147970140096</x:v>
      </x:c>
      <x:c r="I48" s="21" t="n">
        <x:v>17007</x:v>
      </x:c>
      <x:c r="J48" s="23" t="n">
        <x:f>IF(C48&gt;0,I48/C48,"")</x:f>
        <x:v>0.8695674404335821</x:v>
      </x:c>
      <x:c r="K48" s="21" t="n">
        <x:v>18147</x:v>
      </x:c>
      <x:c r="L48" s="23" t="n">
        <x:f>IF(C48&gt;0,K48/C48,"")</x:f>
        <x:v>0.9278556089579711</x:v>
      </x:c>
      <x:c r="M48" s="25" t="n">
        <x:v>2.6304836895388077</x:v>
      </x:c>
      <x:c r="N48" s="25" t="n">
        <x:v>2.8130688209428367</x:v>
      </x:c>
      <x:c r="O48" s="21" t="n">
        <x:v>2176.2566724613966</x:v>
      </x:c>
      <x:c r="P48" s="25" t="n">
        <x:v>9.21684816386588</x:v>
      </x:c>
      <x:c r="Q48" s="2"/>
      <x:c r="R48" s="2"/>
      <x:c r="S48" s="2"/>
      <x:c r="T48" s="2"/>
      <x:c r="U48" s="2"/>
      <x:c r="V48" s="2"/>
    </x:row>
    <x:row r="49" ht="25" customHeight="1">
      <x:c r="A49" s="30" t="d">
        <x:v>2026-09-01T00:00:00.000Z</x:v>
      </x:c>
      <x:c r="B49" s="20" t="str">
        <x:v>提额≥3000</x:v>
      </x:c>
      <x:c r="C49" s="22" t="n">
        <x:v>3167</x:v>
      </x:c>
      <x:c r="D49" s="22" t="n">
        <x:v>3060</x:v>
      </x:c>
      <x:c r="E49" s="22" t="n">
        <x:v>697</x:v>
      </x:c>
      <x:c r="F49" s="24" t="n">
        <x:f>IF(C49&gt;0,E49/C49,"")</x:f>
        <x:v>0.22008209662140826</x:v>
      </x:c>
      <x:c r="G49" s="22" t="n">
        <x:v>1475</x:v>
      </x:c>
      <x:c r="H49" s="24" t="n">
        <x:f>IF(C49&gt;0,G49/C49,"")</x:f>
        <x:v>0.46574044837385536</x:v>
      </x:c>
      <x:c r="I49" s="22" t="n">
        <x:v>2605</x:v>
      </x:c>
      <x:c r="J49" s="24" t="n">
        <x:f>IF(C49&gt;0,I49/C49,"")</x:f>
        <x:v>0.8225449952636564</x:v>
      </x:c>
      <x:c r="K49" s="22" t="n">
        <x:v>2868</x:v>
      </x:c>
      <x:c r="L49" s="24" t="n">
        <x:f>IF(C49&gt;0,K49/C49,"")</x:f>
        <x:v>0.9055888853804863</x:v>
      </x:c>
      <x:c r="M49" s="26" t="n">
        <x:v>3.1682980738869593</x:v>
      </x:c>
      <x:c r="N49" s="26" t="n">
        <x:v>4.413640669403221</x:v>
      </x:c>
      <x:c r="O49" s="22" t="n">
        <x:v>11411.128512788127</x:v>
      </x:c>
      <x:c r="P49" s="26" t="n">
        <x:v>9.242909342876189</x:v>
      </x:c>
      <x:c r="Q49" s="2"/>
      <x:c r="R49" s="2"/>
      <x:c r="S49" s="2"/>
      <x:c r="T49" s="2"/>
      <x:c r="U49" s="2"/>
      <x:c r="V49" s="2"/>
    </x:row>
    <x:row r="50" ht="25" customHeight="1">
      <x:c r="A50" s="29" t="d">
        <x:v>2026-09-01T00:00:00.000Z</x:v>
      </x:c>
      <x:c r="B50" s="17" t="str">
        <x:v>提额0至3000</x:v>
      </x:c>
      <x:c r="C50" s="21" t="n">
        <x:v>9792</x:v>
      </x:c>
      <x:c r="D50" s="21" t="n">
        <x:v>8909</x:v>
      </x:c>
      <x:c r="E50" s="21" t="n">
        <x:v>4055</x:v>
      </x:c>
      <x:c r="F50" s="23" t="n">
        <x:f>IF(C50&gt;0,E50/C50,"")</x:f>
        <x:v>0.4141135620915033</x:v>
      </x:c>
      <x:c r="G50" s="21" t="n">
        <x:v>6616</x:v>
      </x:c>
      <x:c r="H50" s="23" t="n">
        <x:f>IF(C50&gt;0,G50/C50,"")</x:f>
        <x:v>0.6756535947712419</x:v>
      </x:c>
      <x:c r="I50" s="21" t="n">
        <x:v>8429</x:v>
      </x:c>
      <x:c r="J50" s="23" t="n">
        <x:f>IF(C50&gt;0,I50/C50,"")</x:f>
        <x:v>0.8608047385620915</x:v>
      </x:c>
      <x:c r="K50" s="21" t="n">
        <x:v>9116</x:v>
      </x:c>
      <x:c r="L50" s="23" t="n">
        <x:f>IF(C50&gt;0,K50/C50,"")</x:f>
        <x:v>0.9309640522875817</x:v>
      </x:c>
      <x:c r="M50" s="25" t="n">
        <x:v>2.7053717320261437</x:v>
      </x:c>
      <x:c r="N50" s="25" t="n">
        <x:v>2.444342320261438</x:v>
      </x:c>
      <x:c r="O50" s="21" t="n">
        <x:v>2842.692095588235</x:v>
      </x:c>
      <x:c r="P50" s="25" t="n">
        <x:v>9.345063430464778</x:v>
      </x:c>
      <x:c r="Q50" s="2"/>
      <x:c r="R50" s="2"/>
      <x:c r="S50" s="2"/>
      <x:c r="T50" s="2"/>
      <x:c r="U50" s="2"/>
      <x:c r="V50" s="2"/>
    </x:row>
    <x:row r="51" ht="25" customHeight="1">
      <x:c r="A51" s="30" t="d">
        <x:v>2026-09-01T00:00:00.000Z</x:v>
      </x:c>
      <x:c r="B51" s="20" t="str">
        <x:v>额度不变</x:v>
      </x:c>
      <x:c r="C51" s="22" t="n">
        <x:v>1961</x:v>
      </x:c>
      <x:c r="D51" s="22" t="n">
        <x:v>1727</x:v>
      </x:c>
      <x:c r="E51" s="22" t="n">
        <x:v>991</x:v>
      </x:c>
      <x:c r="F51" s="24" t="n">
        <x:f>IF(C51&gt;0,E51/C51,"")</x:f>
        <x:v>0.5053544110147884</x:v>
      </x:c>
      <x:c r="G51" s="22" t="n">
        <x:v>1496</x:v>
      </x:c>
      <x:c r="H51" s="24" t="n">
        <x:f>IF(C51&gt;0,G51/C51,"")</x:f>
        <x:v>0.7628760836308006</x:v>
      </x:c>
      <x:c r="I51" s="22" t="n">
        <x:v>1723</x:v>
      </x:c>
      <x:c r="J51" s="24" t="n">
        <x:f>IF(C51&gt;0,I51/C51,"")</x:f>
        <x:v>0.8786333503314635</x:v>
      </x:c>
      <x:c r="K51" s="22" t="n">
        <x:v>1838</x:v>
      </x:c>
      <x:c r="L51" s="24" t="n">
        <x:f>IF(C51&gt;0,K51/C51,"")</x:f>
        <x:v>0.9372768995410505</x:v>
      </x:c>
      <x:c r="M51" s="26" t="n">
        <x:v>2.2743498215196327</x:v>
      </x:c>
      <x:c r="N51" s="26" t="n">
        <x:v>2.8847526772055074</x:v>
      </x:c>
      <x:c r="O51" s="22" t="n">
        <x:v>984.7256501784804</x:v>
      </x:c>
      <x:c r="P51" s="26" t="n">
        <x:v>9.21109680435152</x:v>
      </x:c>
      <x:c r="Q51" s="2"/>
      <x:c r="R51" s="2"/>
      <x:c r="S51" s="2"/>
      <x:c r="T51" s="2"/>
      <x:c r="U51" s="2"/>
      <x:c r="V51" s="2"/>
    </x:row>
    <x:row r="52" ht="25" customHeight="1">
      <x:c r="A52" s="29" t="d">
        <x:v>2026-09-01T00:00:00.000Z</x:v>
      </x:c>
      <x:c r="B52" s="17" t="str">
        <x:v>额度降低</x:v>
      </x:c>
      <x:c r="C52" s="21" t="n">
        <x:v>6616</x:v>
      </x:c>
      <x:c r="D52" s="21" t="n">
        <x:v>6054</x:v>
      </x:c>
      <x:c r="E52" s="21" t="n">
        <x:v>2706</x:v>
      </x:c>
      <x:c r="F52" s="23" t="n">
        <x:f>IF(C52&gt;0,E52/C52,"")</x:f>
        <x:v>0.40900846432889965</x:v>
      </x:c>
      <x:c r="G52" s="21" t="n">
        <x:v>4539</x:v>
      </x:c>
      <x:c r="H52" s="23" t="n">
        <x:f>IF(C52&gt;0,G52/C52,"")</x:f>
        <x:v>0.6860640870616687</x:v>
      </x:c>
      <x:c r="I52" s="21" t="n">
        <x:v>5791</x:v>
      </x:c>
      <x:c r="J52" s="23" t="n">
        <x:f>IF(C52&gt;0,I52/C52,"")</x:f>
        <x:v>0.8753022974607013</x:v>
      </x:c>
      <x:c r="K52" s="21" t="n">
        <x:v>6211</x:v>
      </x:c>
      <x:c r="L52" s="23" t="n">
        <x:f>IF(C52&gt;0,K52/C52,"")</x:f>
        <x:v>0.9387847642079806</x:v>
      </x:c>
      <x:c r="M52" s="25" t="n">
        <x:v>2.6242442563482467</x:v>
      </x:c>
      <x:c r="N52" s="25" t="n">
        <x:v>2.596130592503023</x:v>
      </x:c>
      <x:c r="O52" s="21" t="n">
        <x:v>1542.368047158404</x:v>
      </x:c>
      <x:c r="P52" s="25" t="n">
        <x:v>8.899362404272471</x:v>
      </x:c>
      <x:c r="Q52" s="2"/>
      <x:c r="R52" s="2"/>
      <x:c r="S52" s="2"/>
      <x:c r="T52" s="2"/>
      <x:c r="U52" s="2"/>
      <x:c r="V52" s="2"/>
    </x:row>
    <x:row r="53" ht="25" customHeight="1">
      <x:c r="A53" s="30" t="d">
        <x:v>2026-09-01T00:00:00.000Z</x:v>
      </x:c>
      <x:c r="B53" s="20" t="str">
        <x:v>其他T0合计</x:v>
      </x:c>
      <x:c r="C53" s="22" t="n">
        <x:v>18369</x:v>
      </x:c>
      <x:c r="D53" s="22" t="n">
        <x:v>15095</x:v>
      </x:c>
      <x:c r="E53" s="22" t="n">
        <x:v>7752</x:v>
      </x:c>
      <x:c r="F53" s="24" t="n">
        <x:f>IF(C53&gt;0,E53/C53,"")</x:f>
        <x:v>0.4220153519516577</x:v>
      </x:c>
      <x:c r="G53" s="22" t="n">
        <x:v>12651</x:v>
      </x:c>
      <x:c r="H53" s="24" t="n">
        <x:f>IF(C53&gt;0,G53/C53,"")</x:f>
        <x:v>0.6887146823452556</x:v>
      </x:c>
      <x:c r="I53" s="22" t="n">
        <x:v>15943</x:v>
      </x:c>
      <x:c r="J53" s="24" t="n">
        <x:f>IF(C53&gt;0,I53/C53,"")</x:f>
        <x:v>0.8679296641080081</x:v>
      </x:c>
      <x:c r="K53" s="22" t="n">
        <x:v>17165</x:v>
      </x:c>
      <x:c r="L53" s="24" t="n">
        <x:f>IF(C53&gt;0,K53/C53,"")</x:f>
        <x:v>0.9344547879579727</x:v>
      </x:c>
      <x:c r="M53" s="26" t="n">
        <x:v>2.63013773204856</x:v>
      </x:c>
      <x:c r="N53" s="26" t="n">
        <x:v>2.5460286352006096</x:v>
      </x:c>
      <x:c r="O53" s="22" t="n">
        <x:v>2176.002776416789</x:v>
      </x:c>
      <x:c r="P53" s="26" t="n">
        <x:v>9.170232653443904</x:v>
      </x:c>
      <x:c r="Q53" s="2"/>
      <x:c r="R53" s="2"/>
      <x:c r="S53" s="2"/>
      <x:c r="T53" s="2"/>
      <x:c r="U53" s="2"/>
      <x:c r="V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</x:row>
  </x:sheetData>
  <x:pageMargins left="0.7" right="0.7" top="0.75" bottom="0.75" header="0.3" footer="0.3"/>
  <x:drawing xmlns:r="http://schemas.openxmlformats.org/officeDocument/2006/relationships" r:id="Ra6dcca76bf14400f"/>
</x:worksheet>
</file>

<file path=xl/worksheets/sheet2.xml><?xml version="1.0" encoding="utf-8"?>
<x:worksheet xmlns:x="http://schemas.openxmlformats.org/spreadsheetml/2006/main">
  <x:sheetPr>
    <x:tabColor rgb="FF708394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获额后当天页面行为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分母为该组全部获额事件。行为共现不等于严格顺序漏斗；确认相关埋点与实际订单分别计算。</x:v>
      </x:c>
      <x:c r="B3" s="2"/>
      <x:c r="C3" s="2"/>
      <x:c r="D3" s="2"/>
      <x:c r="E3" s="2"/>
      <x:c r="F3" s="2"/>
      <x:c r="G3" s="2"/>
      <x:c r="H3" s="2"/>
    </x:row>
    <x:row r="4" ht="25" customHeight="1">
      <x:c r="A4" s="5"/>
      <x:c r="B4" s="5"/>
      <x:c r="C4" s="5"/>
      <x:c r="D4" s="5"/>
      <x:c r="E4" s="5"/>
      <x:c r="F4" s="5"/>
      <x:c r="G4" s="5"/>
      <x:c r="H4" s="5"/>
    </x:row>
    <x:row r="5" ht="58" customHeight="1">
      <x:c r="A5" s="14" t="str">
        <x:v>事件分组</x:v>
      </x:c>
      <x:c r="B5" s="15" t="str">
        <x:v>行为类别</x:v>
      </x:c>
      <x:c r="C5" s="15" t="str">
        <x:v>获额事件数</x:v>
      </x:c>
      <x:c r="D5" s="15" t="str">
        <x:v>出现行为
事件数</x:v>
      </x:c>
      <x:c r="E5" s="15" t="str">
        <x:v>行为发生率</x:v>
      </x:c>
      <x:c r="F5" s="16" t="str">
        <x:v>进页事件中
共现比例</x:v>
      </x:c>
      <x:c r="G5" s="2"/>
      <x:c r="H5" s="2"/>
    </x:row>
    <x:row r="6" ht="25" customHeight="1">
      <x:c r="A6" s="18" t="str">
        <x:v>提额≥3000</x:v>
      </x:c>
      <x:c r="B6" s="17" t="str">
        <x:v>借款页进页</x:v>
      </x:c>
      <x:c r="C6" s="21" t="n">
        <x:v>12309</x:v>
      </x:c>
      <x:c r="D6" s="21" t="n">
        <x:v>10353</x:v>
      </x:c>
      <x:c r="E6" s="23" t="n">
        <x:f>IF(C6&gt;0,D6/C6,"")</x:f>
        <x:v>0.8410918839873264</x:v>
      </x:c>
      <x:c r="F6" s="23"/>
      <x:c r="G6" s="2"/>
      <x:c r="H6" s="2"/>
    </x:row>
    <x:row r="7" ht="25" customHeight="1">
      <x:c r="A7" s="19" t="str">
        <x:v>提额≥3000</x:v>
      </x:c>
      <x:c r="B7" s="20" t="str">
        <x:v>金额选择或修改</x:v>
      </x:c>
      <x:c r="C7" s="22" t="n">
        <x:v>12309</x:v>
      </x:c>
      <x:c r="D7" s="22" t="n">
        <x:v>5495</x:v>
      </x:c>
      <x:c r="E7" s="24" t="n">
        <x:f>IF(C7&gt;0,D7/C7,"")</x:f>
        <x:v>0.44642131773499066</x:v>
      </x:c>
      <x:c r="F7" s="24" t="n">
        <x:v>0.5305708490292669</x:v>
      </x:c>
      <x:c r="G7" s="2"/>
      <x:c r="H7" s="2"/>
    </x:row>
    <x:row r="8" ht="25" customHeight="1">
      <x:c r="A8" s="18" t="str">
        <x:v>提额≥3000</x:v>
      </x:c>
      <x:c r="B8" s="17" t="str">
        <x:v>期次选择</x:v>
      </x:c>
      <x:c r="C8" s="21" t="n">
        <x:v>12309</x:v>
      </x:c>
      <x:c r="D8" s="21" t="n">
        <x:v>1523</x:v>
      </x:c>
      <x:c r="E8" s="23" t="n">
        <x:f>IF(C8&gt;0,D8/C8,"")</x:f>
        <x:v>0.12373060362336502</x:v>
      </x:c>
      <x:c r="F8" s="23" t="n">
        <x:v>0.1471071187095528</x:v>
      </x:c>
      <x:c r="G8" s="2"/>
      <x:c r="H8" s="2"/>
    </x:row>
    <x:row r="9" ht="25" customHeight="1">
      <x:c r="A9" s="19" t="str">
        <x:v>提额≥3000</x:v>
      </x:c>
      <x:c r="B9" s="20" t="str">
        <x:v>合同详情</x:v>
      </x:c>
      <x:c r="C9" s="22" t="n">
        <x:v>12309</x:v>
      </x:c>
      <x:c r="D9" s="22" t="n">
        <x:v>172</x:v>
      </x:c>
      <x:c r="E9" s="24" t="n">
        <x:f>IF(C9&gt;0,D9/C9,"")</x:f>
        <x:v>0.013973515313997887</x:v>
      </x:c>
      <x:c r="F9" s="24"/>
      <x:c r="G9" s="2"/>
      <x:c r="H9" s="2"/>
    </x:row>
    <x:row r="10" ht="25" customHeight="1">
      <x:c r="A10" s="18" t="str">
        <x:v>提额≥3000</x:v>
      </x:c>
      <x:c r="B10" s="17" t="str">
        <x:v>还款计划详情</x:v>
      </x:c>
      <x:c r="C10" s="21" t="n">
        <x:v>12309</x:v>
      </x:c>
      <x:c r="D10" s="21" t="n">
        <x:v>5788</x:v>
      </x:c>
      <x:c r="E10" s="23" t="n">
        <x:f>IF(C10&gt;0,D10/C10,"")</x:f>
        <x:v>0.47022503858964987</x:v>
      </x:c>
      <x:c r="F10" s="23" t="n">
        <x:v>0.5589684149521877</x:v>
      </x:c>
      <x:c r="G10" s="2"/>
      <x:c r="H10" s="2"/>
    </x:row>
    <x:row r="11" ht="25" customHeight="1">
      <x:c r="A11" s="19" t="str">
        <x:v>提额≥3000</x:v>
      </x:c>
      <x:c r="B11" s="20" t="str">
        <x:v>借款用途</x:v>
      </x:c>
      <x:c r="C11" s="22" t="n">
        <x:v>12309</x:v>
      </x:c>
      <x:c r="D11" s="22" t="n">
        <x:v>1379</x:v>
      </x:c>
      <x:c r="E11" s="24" t="n">
        <x:f>IF(C11&gt;0,D11/C11,"")</x:f>
        <x:v>0.11203184661629702</x:v>
      </x:c>
      <x:c r="F11" s="24"/>
      <x:c r="G11" s="2"/>
      <x:c r="H11" s="2"/>
    </x:row>
    <x:row r="12" ht="25" customHeight="1">
      <x:c r="A12" s="18" t="str">
        <x:v>提额≥3000</x:v>
      </x:c>
      <x:c r="B12" s="17" t="str">
        <x:v>提单确认相关</x:v>
      </x:c>
      <x:c r="C12" s="21" t="n">
        <x:v>12309</x:v>
      </x:c>
      <x:c r="D12" s="21" t="n">
        <x:v>3157</x:v>
      </x:c>
      <x:c r="E12" s="23" t="n">
        <x:f>IF(C12&gt;0,D12/C12,"")</x:f>
        <x:v>0.256478999106345</x:v>
      </x:c>
      <x:c r="F12" s="23"/>
      <x:c r="G12" s="2"/>
      <x:c r="H12" s="2"/>
    </x:row>
    <x:row r="13" ht="25" customHeight="1">
      <x:c r="A13" s="19" t="str">
        <x:v>提额≥3000</x:v>
      </x:c>
      <x:c r="B13" s="20" t="str">
        <x:v>优惠券相关</x:v>
      </x:c>
      <x:c r="C13" s="22" t="n">
        <x:v>12309</x:v>
      </x:c>
      <x:c r="D13" s="22" t="n">
        <x:v>0</x:v>
      </x:c>
      <x:c r="E13" s="24" t="n">
        <x:f>IF(C13&gt;0,D13/C13,"")</x:f>
        <x:v>0</x:v>
      </x:c>
      <x:c r="F13" s="24" t="n">
        <x:v>0</x:v>
      </x:c>
      <x:c r="G13" s="2"/>
      <x:c r="H13" s="2"/>
    </x:row>
    <x:row r="14" ht="25" customHeight="1">
      <x:c r="A14" s="18" t="str">
        <x:v>提额≥3000</x:v>
      </x:c>
      <x:c r="B14" s="17" t="str">
        <x:v>产品比较相关</x:v>
      </x:c>
      <x:c r="C14" s="21" t="n">
        <x:v>12309</x:v>
      </x:c>
      <x:c r="D14" s="21" t="n">
        <x:v>749</x:v>
      </x:c>
      <x:c r="E14" s="23" t="n">
        <x:f>IF(C14&gt;0,D14/C14,"")</x:f>
        <x:v>0.06084978471037452</x:v>
      </x:c>
      <x:c r="F14" s="23" t="n">
        <x:v>0.0722495894909688</x:v>
      </x:c>
      <x:c r="G14" s="2"/>
      <x:c r="H14" s="2"/>
    </x:row>
    <x:row r="15" ht="25" customHeight="1">
      <x:c r="A15" s="19" t="str">
        <x:v>提额0至3000</x:v>
      </x:c>
      <x:c r="B15" s="20" t="str">
        <x:v>借款页进页</x:v>
      </x:c>
      <x:c r="C15" s="22" t="n">
        <x:v>39532</x:v>
      </x:c>
      <x:c r="D15" s="22" t="n">
        <x:v>34048</x:v>
      </x:c>
      <x:c r="E15" s="24" t="n">
        <x:f>IF(C15&gt;0,D15/C15,"")</x:f>
        <x:v>0.8612769402003441</x:v>
      </x:c>
      <x:c r="F15" s="24"/>
      <x:c r="G15" s="2"/>
      <x:c r="H15" s="2"/>
    </x:row>
    <x:row r="16" ht="25" customHeight="1">
      <x:c r="A16" s="18" t="str">
        <x:v>提额0至3000</x:v>
      </x:c>
      <x:c r="B16" s="17" t="str">
        <x:v>金额选择或修改</x:v>
      </x:c>
      <x:c r="C16" s="21" t="n">
        <x:v>39532</x:v>
      </x:c>
      <x:c r="D16" s="21" t="n">
        <x:v>13269</x:v>
      </x:c>
      <x:c r="E16" s="23" t="n">
        <x:f>IF(C16&gt;0,D16/C16,"")</x:f>
        <x:v>0.33565212992006477</x:v>
      </x:c>
      <x:c r="F16" s="23" t="n">
        <x:v>0.389655780075188</x:v>
      </x:c>
      <x:c r="G16" s="2"/>
      <x:c r="H16" s="2"/>
    </x:row>
    <x:row r="17" ht="25" customHeight="1">
      <x:c r="A17" s="19" t="str">
        <x:v>提额0至3000</x:v>
      </x:c>
      <x:c r="B17" s="20" t="str">
        <x:v>期次选择</x:v>
      </x:c>
      <x:c r="C17" s="22" t="n">
        <x:v>39532</x:v>
      </x:c>
      <x:c r="D17" s="22" t="n">
        <x:v>5782</x:v>
      </x:c>
      <x:c r="E17" s="24" t="n">
        <x:f>IF(C17&gt;0,D17/C17,"")</x:f>
        <x:v>0.14626125670343013</x:v>
      </x:c>
      <x:c r="F17" s="24" t="n">
        <x:v>0.16970159774436092</x:v>
      </x:c>
      <x:c r="G17" s="2"/>
      <x:c r="H17" s="2"/>
    </x:row>
    <x:row r="18" ht="25" customHeight="1">
      <x:c r="A18" s="18" t="str">
        <x:v>提额0至3000</x:v>
      </x:c>
      <x:c r="B18" s="17" t="str">
        <x:v>合同详情</x:v>
      </x:c>
      <x:c r="C18" s="21" t="n">
        <x:v>39532</x:v>
      </x:c>
      <x:c r="D18" s="21" t="n">
        <x:v>704</x:v>
      </x:c>
      <x:c r="E18" s="23" t="n">
        <x:f>IF(C18&gt;0,D18/C18,"")</x:f>
        <x:v>0.01780835778609734</x:v>
      </x:c>
      <x:c r="F18" s="23"/>
      <x:c r="G18" s="2"/>
      <x:c r="H18" s="2"/>
    </x:row>
    <x:row r="19" ht="25" customHeight="1">
      <x:c r="A19" s="19" t="str">
        <x:v>提额0至3000</x:v>
      </x:c>
      <x:c r="B19" s="20" t="str">
        <x:v>还款计划详情</x:v>
      </x:c>
      <x:c r="C19" s="22" t="n">
        <x:v>39532</x:v>
      </x:c>
      <x:c r="D19" s="22" t="n">
        <x:v>16167</x:v>
      </x:c>
      <x:c r="E19" s="24" t="n">
        <x:f>IF(C19&gt;0,D19/C19,"")</x:f>
        <x:v>0.40895983001113023</x:v>
      </x:c>
      <x:c r="F19" s="24" t="n">
        <x:v>0.4746828007518797</x:v>
      </x:c>
      <x:c r="G19" s="2"/>
      <x:c r="H19" s="2"/>
    </x:row>
    <x:row r="20" ht="25" customHeight="1">
      <x:c r="A20" s="18" t="str">
        <x:v>提额0至3000</x:v>
      </x:c>
      <x:c r="B20" s="17" t="str">
        <x:v>借款用途</x:v>
      </x:c>
      <x:c r="C20" s="21" t="n">
        <x:v>39532</x:v>
      </x:c>
      <x:c r="D20" s="21" t="n">
        <x:v>5828</x:v>
      </x:c>
      <x:c r="E20" s="23" t="n">
        <x:f>IF(C20&gt;0,D20/C20,"")</x:f>
        <x:v>0.1474248709905899</x:v>
      </x:c>
      <x:c r="F20" s="23"/>
      <x:c r="G20" s="2"/>
      <x:c r="H20" s="2"/>
    </x:row>
    <x:row r="21" ht="25" customHeight="1">
      <x:c r="A21" s="19" t="str">
        <x:v>提额0至3000</x:v>
      </x:c>
      <x:c r="B21" s="20" t="str">
        <x:v>提单确认相关</x:v>
      </x:c>
      <x:c r="C21" s="22" t="n">
        <x:v>39532</x:v>
      </x:c>
      <x:c r="D21" s="22" t="n">
        <x:v>16789</x:v>
      </x:c>
      <x:c r="E21" s="24" t="n">
        <x:f>IF(C21&gt;0,D21/C21,"")</x:f>
        <x:v>0.42469391885055147</x:v>
      </x:c>
      <x:c r="F21" s="24"/>
      <x:c r="G21" s="2"/>
      <x:c r="H21" s="2"/>
    </x:row>
    <x:row r="22" ht="25" customHeight="1">
      <x:c r="A22" s="18" t="str">
        <x:v>提额0至3000</x:v>
      </x:c>
      <x:c r="B22" s="17" t="str">
        <x:v>优惠券相关</x:v>
      </x:c>
      <x:c r="C22" s="21" t="n">
        <x:v>39532</x:v>
      </x:c>
      <x:c r="D22" s="21" t="n">
        <x:v>0</x:v>
      </x:c>
      <x:c r="E22" s="23" t="n">
        <x:f>IF(C22&gt;0,D22/C22,"")</x:f>
        <x:v>0</x:v>
      </x:c>
      <x:c r="F22" s="23" t="n">
        <x:v>0</x:v>
      </x:c>
      <x:c r="G22" s="2"/>
      <x:c r="H22" s="2"/>
    </x:row>
    <x:row r="23" ht="25" customHeight="1">
      <x:c r="A23" s="19" t="str">
        <x:v>提额0至3000</x:v>
      </x:c>
      <x:c r="B23" s="20" t="str">
        <x:v>产品比较相关</x:v>
      </x:c>
      <x:c r="C23" s="22" t="n">
        <x:v>39532</x:v>
      </x:c>
      <x:c r="D23" s="22" t="n">
        <x:v>2642</x:v>
      </x:c>
      <x:c r="E23" s="24" t="n">
        <x:f>IF(C23&gt;0,D23/C23,"")</x:f>
        <x:v>0.06683193362339371</x:v>
      </x:c>
      <x:c r="F23" s="24" t="n">
        <x:v>0.07756696428571429</x:v>
      </x:c>
      <x:c r="G23" s="2"/>
      <x:c r="H23" s="2"/>
    </x:row>
    <x:row r="24" ht="25" customHeight="1">
      <x:c r="A24" s="18" t="str">
        <x:v>额度不变</x:v>
      </x:c>
      <x:c r="B24" s="17" t="str">
        <x:v>借款页进页</x:v>
      </x:c>
      <x:c r="C24" s="21" t="n">
        <x:v>9358</x:v>
      </x:c>
      <x:c r="D24" s="21" t="n">
        <x:v>8202</x:v>
      </x:c>
      <x:c r="E24" s="23" t="n">
        <x:f>IF(C24&gt;0,D24/C24,"")</x:f>
        <x:v>0.876469331053644</x:v>
      </x:c>
      <x:c r="F24" s="23"/>
      <x:c r="G24" s="2"/>
      <x:c r="H24" s="2"/>
    </x:row>
    <x:row r="25" ht="25" customHeight="1">
      <x:c r="A25" s="19" t="str">
        <x:v>额度不变</x:v>
      </x:c>
      <x:c r="B25" s="20" t="str">
        <x:v>金额选择或修改</x:v>
      </x:c>
      <x:c r="C25" s="22" t="n">
        <x:v>9358</x:v>
      </x:c>
      <x:c r="D25" s="22" t="n">
        <x:v>2669</x:v>
      </x:c>
      <x:c r="E25" s="24" t="n">
        <x:f>IF(C25&gt;0,D25/C25,"")</x:f>
        <x:v>0.2852105150673221</x:v>
      </x:c>
      <x:c r="F25" s="24" t="n">
        <x:v>0.3254084369665935</x:v>
      </x:c>
      <x:c r="G25" s="2"/>
      <x:c r="H25" s="2"/>
    </x:row>
    <x:row r="26" ht="25" customHeight="1">
      <x:c r="A26" s="18" t="str">
        <x:v>额度不变</x:v>
      </x:c>
      <x:c r="B26" s="17" t="str">
        <x:v>期次选择</x:v>
      </x:c>
      <x:c r="C26" s="21" t="n">
        <x:v>9358</x:v>
      </x:c>
      <x:c r="D26" s="21" t="n">
        <x:v>1070</x:v>
      </x:c>
      <x:c r="E26" s="23" t="n">
        <x:f>IF(C26&gt;0,D26/C26,"")</x:f>
        <x:v>0.11434067108356487</x:v>
      </x:c>
      <x:c r="F26" s="23" t="n">
        <x:v>0.13045598634479394</x:v>
      </x:c>
      <x:c r="G26" s="2"/>
      <x:c r="H26" s="2"/>
    </x:row>
    <x:row r="27" ht="25" customHeight="1">
      <x:c r="A27" s="19" t="str">
        <x:v>额度不变</x:v>
      </x:c>
      <x:c r="B27" s="20" t="str">
        <x:v>合同详情</x:v>
      </x:c>
      <x:c r="C27" s="22" t="n">
        <x:v>9358</x:v>
      </x:c>
      <x:c r="D27" s="22" t="n">
        <x:v>223</x:v>
      </x:c>
      <x:c r="E27" s="24" t="n">
        <x:f>IF(C27&gt;0,D27/C27,"")</x:f>
        <x:v>0.023829878179098096</x:v>
      </x:c>
      <x:c r="F27" s="24"/>
      <x:c r="G27" s="2"/>
      <x:c r="H27" s="2"/>
    </x:row>
    <x:row r="28" ht="25" customHeight="1">
      <x:c r="A28" s="18" t="str">
        <x:v>额度不变</x:v>
      </x:c>
      <x:c r="B28" s="17" t="str">
        <x:v>还款计划详情</x:v>
      </x:c>
      <x:c r="C28" s="21" t="n">
        <x:v>9358</x:v>
      </x:c>
      <x:c r="D28" s="21" t="n">
        <x:v>2330</x:v>
      </x:c>
      <x:c r="E28" s="23" t="n">
        <x:f>IF(C28&gt;0,D28/C28,"")</x:f>
        <x:v>0.24898482581748238</x:v>
      </x:c>
      <x:c r="F28" s="23" t="n">
        <x:v>0.2840770543769812</x:v>
      </x:c>
      <x:c r="G28" s="2"/>
      <x:c r="H28" s="2"/>
    </x:row>
    <x:row r="29" ht="25" customHeight="1">
      <x:c r="A29" s="19" t="str">
        <x:v>额度不变</x:v>
      </x:c>
      <x:c r="B29" s="20" t="str">
        <x:v>借款用途</x:v>
      </x:c>
      <x:c r="C29" s="22" t="n">
        <x:v>9358</x:v>
      </x:c>
      <x:c r="D29" s="22" t="n">
        <x:v>1642</x:v>
      </x:c>
      <x:c r="E29" s="24" t="n">
        <x:f>IF(C29&gt;0,D29/C29,"")</x:f>
        <x:v>0.1754648429151528</x:v>
      </x:c>
      <x:c r="F29" s="24"/>
      <x:c r="G29" s="2"/>
      <x:c r="H29" s="2"/>
    </x:row>
    <x:row r="30" ht="25" customHeight="1">
      <x:c r="A30" s="18" t="str">
        <x:v>额度不变</x:v>
      </x:c>
      <x:c r="B30" s="17" t="str">
        <x:v>提单确认相关</x:v>
      </x:c>
      <x:c r="C30" s="21" t="n">
        <x:v>9358</x:v>
      </x:c>
      <x:c r="D30" s="21" t="n">
        <x:v>4880</x:v>
      </x:c>
      <x:c r="E30" s="23" t="n">
        <x:f>IF(C30&gt;0,D30/C30,"")</x:f>
        <x:v>0.5214789484932678</x:v>
      </x:c>
      <x:c r="F30" s="23"/>
      <x:c r="G30" s="2"/>
      <x:c r="H30" s="2"/>
    </x:row>
    <x:row r="31" ht="25" customHeight="1">
      <x:c r="A31" s="19" t="str">
        <x:v>额度不变</x:v>
      </x:c>
      <x:c r="B31" s="20" t="str">
        <x:v>优惠券相关</x:v>
      </x:c>
      <x:c r="C31" s="22" t="n">
        <x:v>9358</x:v>
      </x:c>
      <x:c r="D31" s="22" t="n">
        <x:v>0</x:v>
      </x:c>
      <x:c r="E31" s="24" t="n">
        <x:f>IF(C31&gt;0,D31/C31,"")</x:f>
        <x:v>0</x:v>
      </x:c>
      <x:c r="F31" s="24" t="n">
        <x:v>0</x:v>
      </x:c>
      <x:c r="G31" s="2"/>
      <x:c r="H31" s="2"/>
    </x:row>
    <x:row r="32" ht="25" customHeight="1">
      <x:c r="A32" s="18" t="str">
        <x:v>额度不变</x:v>
      </x:c>
      <x:c r="B32" s="17" t="str">
        <x:v>产品比较相关</x:v>
      </x:c>
      <x:c r="C32" s="21" t="n">
        <x:v>9358</x:v>
      </x:c>
      <x:c r="D32" s="21" t="n">
        <x:v>91</x:v>
      </x:c>
      <x:c r="E32" s="23" t="n">
        <x:f>IF(C32&gt;0,D32/C32,"")</x:f>
        <x:v>0.009724300064116264</x:v>
      </x:c>
      <x:c r="F32" s="23" t="n">
        <x:v>0.011094854913435747</x:v>
      </x:c>
      <x:c r="G32" s="2"/>
      <x:c r="H32" s="2"/>
    </x:row>
    <x:row r="33" ht="25" customHeight="1">
      <x:c r="A33" s="19" t="str">
        <x:v>额度降低</x:v>
      </x:c>
      <x:c r="B33" s="20" t="str">
        <x:v>借款页进页</x:v>
      </x:c>
      <x:c r="C33" s="22" t="n">
        <x:v>29883</x:v>
      </x:c>
      <x:c r="D33" s="22" t="n">
        <x:v>26228</x:v>
      </x:c>
      <x:c r="E33" s="24" t="n">
        <x:f>IF(C33&gt;0,D33/C33,"")</x:f>
        <x:v>0.8776896563263394</x:v>
      </x:c>
      <x:c r="F33" s="24"/>
      <x:c r="G33" s="2"/>
      <x:c r="H33" s="2"/>
    </x:row>
    <x:row r="34" ht="25" customHeight="1">
      <x:c r="A34" s="18" t="str">
        <x:v>额度降低</x:v>
      </x:c>
      <x:c r="B34" s="17" t="str">
        <x:v>金额选择或修改</x:v>
      </x:c>
      <x:c r="C34" s="21" t="n">
        <x:v>29883</x:v>
      </x:c>
      <x:c r="D34" s="21" t="n">
        <x:v>8752</x:v>
      </x:c>
      <x:c r="E34" s="23" t="n">
        <x:f>IF(C34&gt;0,D34/C34,"")</x:f>
        <x:v>0.292875547970418</x:v>
      </x:c>
      <x:c r="F34" s="23" t="n">
        <x:v>0.3336510599359463</x:v>
      </x:c>
      <x:c r="G34" s="2"/>
      <x:c r="H34" s="2"/>
    </x:row>
    <x:row r="35" ht="25" customHeight="1">
      <x:c r="A35" s="19" t="str">
        <x:v>额度降低</x:v>
      </x:c>
      <x:c r="B35" s="20" t="str">
        <x:v>期次选择</x:v>
      </x:c>
      <x:c r="C35" s="22" t="n">
        <x:v>29883</x:v>
      </x:c>
      <x:c r="D35" s="22" t="n">
        <x:v>3659</x:v>
      </x:c>
      <x:c r="E35" s="24" t="n">
        <x:f>IF(C35&gt;0,D35/C35,"")</x:f>
        <x:v>0.1224441990429341</x:v>
      </x:c>
      <x:c r="F35" s="24" t="n">
        <x:v>0.13950739667530884</x:v>
      </x:c>
      <x:c r="G35" s="2"/>
      <x:c r="H35" s="2"/>
    </x:row>
    <x:row r="36" ht="25" customHeight="1">
      <x:c r="A36" s="18" t="str">
        <x:v>额度降低</x:v>
      </x:c>
      <x:c r="B36" s="17" t="str">
        <x:v>合同详情</x:v>
      </x:c>
      <x:c r="C36" s="21" t="n">
        <x:v>29883</x:v>
      </x:c>
      <x:c r="D36" s="21" t="n">
        <x:v>626</x:v>
      </x:c>
      <x:c r="E36" s="23" t="n">
        <x:f>IF(C36&gt;0,D36/C36,"")</x:f>
        <x:v>0.020948365291302746</x:v>
      </x:c>
      <x:c r="F36" s="23"/>
      <x:c r="G36" s="2"/>
      <x:c r="H36" s="2"/>
    </x:row>
    <x:row r="37" ht="25" customHeight="1">
      <x:c r="A37" s="19" t="str">
        <x:v>额度降低</x:v>
      </x:c>
      <x:c r="B37" s="20" t="str">
        <x:v>还款计划详情</x:v>
      </x:c>
      <x:c r="C37" s="22" t="n">
        <x:v>29883</x:v>
      </x:c>
      <x:c r="D37" s="22" t="n">
        <x:v>9810</x:v>
      </x:c>
      <x:c r="E37" s="24" t="n">
        <x:f>IF(C37&gt;0,D37/C37,"")</x:f>
        <x:v>0.3282802931432587</x:v>
      </x:c>
      <x:c r="F37" s="24" t="n">
        <x:v>0.37395150221137713</x:v>
      </x:c>
      <x:c r="G37" s="2"/>
      <x:c r="H37" s="2"/>
    </x:row>
    <x:row r="38" ht="25" customHeight="1">
      <x:c r="A38" s="18" t="str">
        <x:v>额度降低</x:v>
      </x:c>
      <x:c r="B38" s="17" t="str">
        <x:v>借款用途</x:v>
      </x:c>
      <x:c r="C38" s="21" t="n">
        <x:v>29883</x:v>
      </x:c>
      <x:c r="D38" s="21" t="n">
        <x:v>5173</x:v>
      </x:c>
      <x:c r="E38" s="23" t="n">
        <x:f>IF(C38&gt;0,D38/C38,"")</x:f>
        <x:v>0.17310845631295385</x:v>
      </x:c>
      <x:c r="F38" s="23"/>
      <x:c r="G38" s="2"/>
      <x:c r="H38" s="2"/>
    </x:row>
    <x:row r="39" ht="25" customHeight="1">
      <x:c r="A39" s="19" t="str">
        <x:v>额度降低</x:v>
      </x:c>
      <x:c r="B39" s="20" t="str">
        <x:v>提单确认相关</x:v>
      </x:c>
      <x:c r="C39" s="22" t="n">
        <x:v>29883</x:v>
      </x:c>
      <x:c r="D39" s="22" t="n">
        <x:v>13236</x:v>
      </x:c>
      <x:c r="E39" s="24" t="n">
        <x:f>IF(C39&gt;0,D39/C39,"")</x:f>
        <x:v>0.44292741692601145</x:v>
      </x:c>
      <x:c r="F39" s="24"/>
      <x:c r="G39" s="2"/>
      <x:c r="H39" s="2"/>
    </x:row>
    <x:row r="40" ht="25" customHeight="1">
      <x:c r="A40" s="18" t="str">
        <x:v>额度降低</x:v>
      </x:c>
      <x:c r="B40" s="17" t="str">
        <x:v>优惠券相关</x:v>
      </x:c>
      <x:c r="C40" s="21" t="n">
        <x:v>29883</x:v>
      </x:c>
      <x:c r="D40" s="21" t="n">
        <x:v>0</x:v>
      </x:c>
      <x:c r="E40" s="23" t="n">
        <x:f>IF(C40&gt;0,D40/C40,"")</x:f>
        <x:v>0</x:v>
      </x:c>
      <x:c r="F40" s="23" t="n">
        <x:v>0</x:v>
      </x:c>
      <x:c r="G40" s="2"/>
      <x:c r="H40" s="2"/>
    </x:row>
    <x:row r="41" ht="25" customHeight="1">
      <x:c r="A41" s="19" t="str">
        <x:v>额度降低</x:v>
      </x:c>
      <x:c r="B41" s="20" t="str">
        <x:v>产品比较相关</x:v>
      </x:c>
      <x:c r="C41" s="22" t="n">
        <x:v>29883</x:v>
      </x:c>
      <x:c r="D41" s="22" t="n">
        <x:v>502</x:v>
      </x:c>
      <x:c r="E41" s="24" t="n">
        <x:f>IF(C41&gt;0,D41/C41,"")</x:f>
        <x:v>0.016798848843824248</x:v>
      </x:c>
      <x:c r="F41" s="24" t="n">
        <x:v>0.019101723349092572</x:v>
      </x:c>
      <x:c r="G41" s="2"/>
      <x:c r="H41" s="2"/>
    </x:row>
    <x:row r="42" ht="25" customHeight="1">
      <x:c r="A42" s="18" t="str">
        <x:v>其他T0合计</x:v>
      </x:c>
      <x:c r="B42" s="17" t="str">
        <x:v>借款页进页</x:v>
      </x:c>
      <x:c r="C42" s="21" t="n">
        <x:v>78773</x:v>
      </x:c>
      <x:c r="D42" s="21" t="n">
        <x:v>68478</x:v>
      </x:c>
      <x:c r="E42" s="23" t="n">
        <x:f>IF(C42&gt;0,D42/C42,"")</x:f>
        <x:v>0.8693080116283498</x:v>
      </x:c>
      <x:c r="F42" s="23"/>
      <x:c r="G42" s="2"/>
      <x:c r="H42" s="2"/>
    </x:row>
    <x:row r="43" ht="25" customHeight="1">
      <x:c r="A43" s="19" t="str">
        <x:v>其他T0合计</x:v>
      </x:c>
      <x:c r="B43" s="20" t="str">
        <x:v>金额选择或修改</x:v>
      </x:c>
      <x:c r="C43" s="22" t="n">
        <x:v>78773</x:v>
      </x:c>
      <x:c r="D43" s="22" t="n">
        <x:v>24690</x:v>
      </x:c>
      <x:c r="E43" s="24" t="n">
        <x:f>IF(C43&gt;0,D43/C43,"")</x:f>
        <x:v>0.31343226740126695</x:v>
      </x:c>
      <x:c r="F43" s="24" t="n">
        <x:v>0.3605099447997897</x:v>
      </x:c>
      <x:c r="G43" s="2"/>
      <x:c r="H43" s="2"/>
    </x:row>
    <x:row r="44" ht="25" customHeight="1">
      <x:c r="A44" s="18" t="str">
        <x:v>其他T0合计</x:v>
      </x:c>
      <x:c r="B44" s="17" t="str">
        <x:v>期次选择</x:v>
      </x:c>
      <x:c r="C44" s="21" t="n">
        <x:v>78773</x:v>
      </x:c>
      <x:c r="D44" s="21" t="n">
        <x:v>10511</x:v>
      </x:c>
      <x:c r="E44" s="23" t="n">
        <x:f>IF(C44&gt;0,D44/C44,"")</x:f>
        <x:v>0.13343404465997233</x:v>
      </x:c>
      <x:c r="F44" s="23" t="n">
        <x:v>0.1534361400741844</x:v>
      </x:c>
      <x:c r="G44" s="2"/>
      <x:c r="H44" s="2"/>
    </x:row>
    <x:row r="45" ht="25" customHeight="1">
      <x:c r="A45" s="19" t="str">
        <x:v>其他T0合计</x:v>
      </x:c>
      <x:c r="B45" s="20" t="str">
        <x:v>合同详情</x:v>
      </x:c>
      <x:c r="C45" s="22" t="n">
        <x:v>78773</x:v>
      </x:c>
      <x:c r="D45" s="22" t="n">
        <x:v>1553</x:v>
      </x:c>
      <x:c r="E45" s="24" t="n">
        <x:f>IF(C45&gt;0,D45/C45,"")</x:f>
        <x:v>0.019714876924834653</x:v>
      </x:c>
      <x:c r="F45" s="24"/>
      <x:c r="G45" s="2"/>
      <x:c r="H45" s="2"/>
    </x:row>
    <x:row r="46" ht="25" customHeight="1">
      <x:c r="A46" s="18" t="str">
        <x:v>其他T0合计</x:v>
      </x:c>
      <x:c r="B46" s="17" t="str">
        <x:v>还款计划详情</x:v>
      </x:c>
      <x:c r="C46" s="21" t="n">
        <x:v>78773</x:v>
      </x:c>
      <x:c r="D46" s="21" t="n">
        <x:v>28307</x:v>
      </x:c>
      <x:c r="E46" s="23" t="n">
        <x:f>IF(C46&gt;0,D46/C46,"")</x:f>
        <x:v>0.35934901552562426</x:v>
      </x:c>
      <x:c r="F46" s="23" t="n">
        <x:v>0.41327141563713893</x:v>
      </x:c>
      <x:c r="G46" s="2"/>
      <x:c r="H46" s="2"/>
    </x:row>
    <x:row r="47" ht="25" customHeight="1">
      <x:c r="A47" s="19" t="str">
        <x:v>其他T0合计</x:v>
      </x:c>
      <x:c r="B47" s="20" t="str">
        <x:v>借款用途</x:v>
      </x:c>
      <x:c r="C47" s="22" t="n">
        <x:v>78773</x:v>
      </x:c>
      <x:c r="D47" s="22" t="n">
        <x:v>12643</x:v>
      </x:c>
      <x:c r="E47" s="24" t="n">
        <x:f>IF(C47&gt;0,D47/C47,"")</x:f>
        <x:v>0.16049915580211493</x:v>
      </x:c>
      <x:c r="F47" s="24"/>
      <x:c r="G47" s="2"/>
      <x:c r="H47" s="2"/>
    </x:row>
    <x:row r="48" ht="25" customHeight="1">
      <x:c r="A48" s="18" t="str">
        <x:v>其他T0合计</x:v>
      </x:c>
      <x:c r="B48" s="17" t="str">
        <x:v>提单确认相关</x:v>
      </x:c>
      <x:c r="C48" s="21" t="n">
        <x:v>78773</x:v>
      </x:c>
      <x:c r="D48" s="21" t="n">
        <x:v>34905</x:v>
      </x:c>
      <x:c r="E48" s="23" t="n">
        <x:f>IF(C48&gt;0,D48/C48,"")</x:f>
        <x:v>0.44310867936983483</x:v>
      </x:c>
      <x:c r="F48" s="23"/>
      <x:c r="G48" s="2"/>
      <x:c r="H48" s="2"/>
    </x:row>
    <x:row r="49" ht="25" customHeight="1">
      <x:c r="A49" s="19" t="str">
        <x:v>其他T0合计</x:v>
      </x:c>
      <x:c r="B49" s="20" t="str">
        <x:v>优惠券相关</x:v>
      </x:c>
      <x:c r="C49" s="22" t="n">
        <x:v>78773</x:v>
      </x:c>
      <x:c r="D49" s="22" t="n">
        <x:v>0</x:v>
      </x:c>
      <x:c r="E49" s="24" t="n">
        <x:f>IF(C49&gt;0,D49/C49,"")</x:f>
        <x:v>0</x:v>
      </x:c>
      <x:c r="F49" s="24" t="n">
        <x:v>0</x:v>
      </x:c>
      <x:c r="G49" s="2"/>
      <x:c r="H49" s="2"/>
    </x:row>
    <x:row r="50" ht="25" customHeight="1">
      <x:c r="A50" s="18" t="str">
        <x:v>其他T0合计</x:v>
      </x:c>
      <x:c r="B50" s="17" t="str">
        <x:v>产品比较相关</x:v>
      </x:c>
      <x:c r="C50" s="21" t="n">
        <x:v>78773</x:v>
      </x:c>
      <x:c r="D50" s="21" t="n">
        <x:v>3235</x:v>
      </x:c>
      <x:c r="E50" s="23" t="n">
        <x:f>IF(C50&gt;0,D50/C50,"")</x:f>
        <x:v>0.04106737079963947</x:v>
      </x:c>
      <x:c r="F50" s="23" t="n">
        <x:v>0.04721224334822863</x:v>
      </x:c>
      <x:c r="G50" s="2"/>
      <x:c r="H50" s="2"/>
    </x:row>
    <x:row r="51" ht="25" customHeight="1">
      <x:c r="A51" s="2"/>
      <x:c r="B51" s="2"/>
      <x:c r="C51" s="2"/>
      <x:c r="D51" s="2"/>
      <x:c r="E51" s="2"/>
      <x:c r="F51" s="2"/>
      <x:c r="G51" s="2"/>
      <x:c r="H51" s="2"/>
    </x:row>
    <x:row r="52" ht="25" customHeight="1">
      <x:c r="A52" s="2"/>
      <x:c r="B52" s="2"/>
      <x:c r="C52" s="2"/>
      <x:c r="D52" s="2"/>
      <x:c r="E52" s="2"/>
      <x:c r="F52" s="2"/>
      <x:c r="G52" s="2"/>
      <x:c r="H52" s="2"/>
    </x:row>
    <x:row r="53" ht="25" customHeight="1">
      <x:c r="A53" s="27" t="str">
        <x:v>“进页事件中共现比例”仅对金额、期次、计划、优惠券与产品比较展示。空白表示未作为该项共现统计。</x:v>
      </x:c>
      <x:c r="B53" s="2"/>
      <x:c r="C53" s="2"/>
      <x:c r="D53" s="2"/>
      <x:c r="E53" s="2"/>
      <x:c r="F53" s="2"/>
      <x:c r="G53" s="2"/>
      <x:c r="H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</x:row>
    <x:row r="59" ht="25" customHeight="1">
      <x:c r="A59" s="2"/>
      <x:c r="B59" s="2"/>
      <x:c r="C59" s="2"/>
      <x:c r="D59" s="2"/>
      <x:c r="E59" s="2"/>
      <x:c r="F59" s="2"/>
      <x:c r="G59" s="2"/>
      <x:c r="H59" s="2"/>
    </x:row>
    <x:row r="60" ht="25" customHeight="1">
      <x:c r="A60" s="2"/>
      <x:c r="B60" s="2"/>
      <x:c r="C60" s="2"/>
      <x:c r="D60" s="2"/>
      <x:c r="E60" s="2"/>
      <x:c r="F60" s="2"/>
      <x:c r="G60" s="2"/>
      <x:c r="H6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8394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获额前后逐日行为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D0为获额后的部分自然日。D1—D7在下一次有效T0时退出；没有观察时长的事件不计入当天分母。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58" customHeight="1">
      <x:c r="A5" s="14" t="str">
        <x:v>事件分组</x:v>
      </x:c>
      <x:c r="B5" s="15" t="str">
        <x:v>相对自然日</x:v>
      </x:c>
      <x:c r="C5" s="15" t="str">
        <x:v>有效观察
事件数</x:v>
      </x:c>
      <x:c r="D5" s="15" t="str">
        <x:v>有行为记录
事件数</x:v>
      </x:c>
      <x:c r="E5" s="15" t="str">
        <x:v>有行为记录率</x:v>
      </x:c>
      <x:c r="F5" s="15" t="str">
        <x:v>借款页进页
事件数</x:v>
      </x:c>
      <x:c r="G5" s="15" t="str">
        <x:v>借款页进页率</x:v>
      </x:c>
      <x:c r="H5" s="15" t="str">
        <x:v>金额操作
事件数</x:v>
      </x:c>
      <x:c r="I5" s="15" t="str">
        <x:v>金额操作率</x:v>
      </x:c>
      <x:c r="J5" s="15" t="str">
        <x:v>还款计划
事件数</x:v>
      </x:c>
      <x:c r="K5" s="15" t="str">
        <x:v>还款计划率</x:v>
      </x:c>
      <x:c r="L5" s="15" t="str">
        <x:v>借款页日志
停留秒数均值</x:v>
      </x:c>
      <x:c r="M5" s="16" t="str">
        <x:v>平均观察
小时</x:v>
      </x:c>
    </x:row>
    <x:row r="6" ht="25" customHeight="1">
      <x:c r="A6" s="18" t="str">
        <x:v>提额≥3000</x:v>
      </x:c>
      <x:c r="B6" s="17" t="n">
        <x:v>-7</x:v>
      </x:c>
      <x:c r="C6" s="21" t="n">
        <x:v>12309</x:v>
      </x:c>
      <x:c r="D6" s="21" t="n">
        <x:v>7289</x:v>
      </x:c>
      <x:c r="E6" s="23" t="n">
        <x:f>IF(C6&gt;0,D6/C6,"")</x:f>
        <x:v>0.5921683321147128</x:v>
      </x:c>
      <x:c r="F6" s="21" t="n">
        <x:v>4233</x:v>
      </x:c>
      <x:c r="G6" s="23" t="n">
        <x:f>IF(C6&gt;0,F6/C6,"")</x:f>
        <x:v>0.3438947111869364</x:v>
      </x:c>
      <x:c r="H6" s="21" t="n">
        <x:v>1274</x:v>
      </x:c>
      <x:c r="I6" s="23" t="n">
        <x:f>IF(C6&gt;0,H6/C6,"")</x:f>
        <x:v>0.10350150296530994</x:v>
      </x:c>
      <x:c r="J6" s="21" t="n">
        <x:v>1514</x:v>
      </x:c>
      <x:c r="K6" s="23" t="n">
        <x:f>IF(C6&gt;0,J6/C6,"")</x:f>
        <x:v>0.12299943131042326</x:v>
      </x:c>
      <x:c r="L6" s="25" t="n">
        <x:v>15.043070436266145</x:v>
      </x:c>
      <x:c r="M6" s="25" t="n">
        <x:v>24</x:v>
      </x:c>
    </x:row>
    <x:row r="7" ht="25" customHeight="1">
      <x:c r="A7" s="19" t="str">
        <x:v>提额0至3000</x:v>
      </x:c>
      <x:c r="B7" s="20" t="n">
        <x:v>-7</x:v>
      </x:c>
      <x:c r="C7" s="22" t="n">
        <x:v>39532</x:v>
      </x:c>
      <x:c r="D7" s="22" t="n">
        <x:v>18609</x:v>
      </x:c>
      <x:c r="E7" s="24" t="n">
        <x:f>IF(C7&gt;0,D7/C7,"")</x:f>
        <x:v>0.4707325710816554</x:v>
      </x:c>
      <x:c r="F7" s="22" t="n">
        <x:v>7548</x:v>
      </x:c>
      <x:c r="G7" s="24" t="n">
        <x:f>IF(C7&gt;0,F7/C7,"")</x:f>
        <x:v>0.19093392694525954</x:v>
      </x:c>
      <x:c r="H7" s="22" t="n">
        <x:v>2484</x:v>
      </x:c>
      <x:c r="I7" s="24" t="n">
        <x:f>IF(C7&gt;0,H7/C7,"")</x:f>
        <x:v>0.06283517150662754</x:v>
      </x:c>
      <x:c r="J7" s="22" t="n">
        <x:v>3071</x:v>
      </x:c>
      <x:c r="K7" s="24" t="n">
        <x:f>IF(C7&gt;0,J7/C7,"")</x:f>
        <x:v>0.07768390164929677</x:v>
      </x:c>
      <x:c r="L7" s="26" t="n">
        <x:v>10.377027041384194</x:v>
      </x:c>
      <x:c r="M7" s="26" t="n">
        <x:v>24</x:v>
      </x:c>
    </x:row>
    <x:row r="8" ht="25" customHeight="1">
      <x:c r="A8" s="18" t="str">
        <x:v>额度不变</x:v>
      </x:c>
      <x:c r="B8" s="17" t="n">
        <x:v>-7</x:v>
      </x:c>
      <x:c r="C8" s="21" t="n">
        <x:v>9358</x:v>
      </x:c>
      <x:c r="D8" s="21" t="n">
        <x:v>3856</x:v>
      </x:c>
      <x:c r="E8" s="23" t="n">
        <x:f>IF(C8&gt;0,D8/C8,"")</x:f>
        <x:v>0.41205385766189356</x:v>
      </x:c>
      <x:c r="F8" s="21" t="n">
        <x:v>1428</x:v>
      </x:c>
      <x:c r="G8" s="23" t="n">
        <x:f>IF(C8&gt;0,F8/C8,"")</x:f>
        <x:v>0.15259670869843983</x:v>
      </x:c>
      <x:c r="H8" s="21" t="n">
        <x:v>416</x:v>
      </x:c>
      <x:c r="I8" s="23" t="n">
        <x:f>IF(C8&gt;0,H8/C8,"")</x:f>
        <x:v>0.04445394315024578</x:v>
      </x:c>
      <x:c r="J8" s="21" t="n">
        <x:v>480</x:v>
      </x:c>
      <x:c r="K8" s="23" t="n">
        <x:f>IF(C8&gt;0,J8/C8,"")</x:f>
        <x:v>0.05129301132720667</x:v>
      </x:c>
      <x:c r="L8" s="25" t="n">
        <x:v>7.829925945714896</x:v>
      </x:c>
      <x:c r="M8" s="25" t="n">
        <x:v>24</x:v>
      </x:c>
    </x:row>
    <x:row r="9" ht="25" customHeight="1">
      <x:c r="A9" s="19" t="str">
        <x:v>额度降低</x:v>
      </x:c>
      <x:c r="B9" s="20" t="n">
        <x:v>-7</x:v>
      </x:c>
      <x:c r="C9" s="22" t="n">
        <x:v>29883</x:v>
      </x:c>
      <x:c r="D9" s="22" t="n">
        <x:v>14469</x:v>
      </x:c>
      <x:c r="E9" s="24" t="n">
        <x:f>IF(C9&gt;0,D9/C9,"")</x:f>
        <x:v>0.48418833450456783</x:v>
      </x:c>
      <x:c r="F9" s="22" t="n">
        <x:v>4208</x:v>
      </x:c>
      <x:c r="G9" s="24" t="n">
        <x:f>IF(C9&gt;0,F9/C9,"")</x:f>
        <x:v>0.14081584847572198</x:v>
      </x:c>
      <x:c r="H9" s="22" t="n">
        <x:v>1580</x:v>
      </x:c>
      <x:c r="I9" s="24" t="n">
        <x:f>IF(C9&gt;0,H9/C9,"")</x:f>
        <x:v>0.052872870863032495</x:v>
      </x:c>
      <x:c r="J9" s="22" t="n">
        <x:v>1821</x:v>
      </x:c>
      <x:c r="K9" s="24" t="n">
        <x:f>IF(C9&gt;0,J9/C9,"")</x:f>
        <x:v>0.06093765686176087</x:v>
      </x:c>
      <x:c r="L9" s="26" t="n">
        <x:v>9.036360204798715</x:v>
      </x:c>
      <x:c r="M9" s="26" t="n">
        <x:v>24</x:v>
      </x:c>
    </x:row>
    <x:row r="10" ht="25" customHeight="1">
      <x:c r="A10" s="18" t="str">
        <x:v>其他T0合计</x:v>
      </x:c>
      <x:c r="B10" s="17" t="n">
        <x:v>-7</x:v>
      </x:c>
      <x:c r="C10" s="21" t="n">
        <x:v>78773</x:v>
      </x:c>
      <x:c r="D10" s="21" t="n">
        <x:v>36934</x:v>
      </x:c>
      <x:c r="E10" s="23" t="n">
        <x:f>IF(C10&gt;0,D10/C10,"")</x:f>
        <x:v>0.468866235893009</x:v>
      </x:c>
      <x:c r="F10" s="21" t="n">
        <x:v>13184</x:v>
      </x:c>
      <x:c r="G10" s="23" t="n">
        <x:f>IF(C10&gt;0,F10/C10,"")</x:f>
        <x:v>0.1673669912279588</x:v>
      </x:c>
      <x:c r="H10" s="21" t="n">
        <x:v>4480</x:v>
      </x:c>
      <x:c r="I10" s="23" t="n">
        <x:f>IF(C10&gt;0,H10/C10,"")</x:f>
        <x:v>0.05687227857260736</x:v>
      </x:c>
      <x:c r="J10" s="21" t="n">
        <x:v>5372</x:v>
      </x:c>
      <x:c r="K10" s="23" t="n">
        <x:f>IF(C10&gt;0,J10/C10,"")</x:f>
        <x:v>0.06819595546697473</x:v>
      </x:c>
      <x:c r="L10" s="25" t="n">
        <x:v>9.565849110735911</x:v>
      </x:c>
      <x:c r="M10" s="25" t="n">
        <x:v>24</x:v>
      </x:c>
    </x:row>
    <x:row r="11" ht="25" customHeight="1">
      <x:c r="A11" s="19" t="str">
        <x:v>提额≥3000</x:v>
      </x:c>
      <x:c r="B11" s="20" t="n">
        <x:v>-6</x:v>
      </x:c>
      <x:c r="C11" s="22" t="n">
        <x:v>12309</x:v>
      </x:c>
      <x:c r="D11" s="22" t="n">
        <x:v>5802</x:v>
      </x:c>
      <x:c r="E11" s="24" t="n">
        <x:f>IF(C11&gt;0,D11/C11,"")</x:f>
        <x:v>0.47136241774311477</x:v>
      </x:c>
      <x:c r="F11" s="22" t="n">
        <x:v>3665</x:v>
      </x:c>
      <x:c r="G11" s="24" t="n">
        <x:f>IF(C11&gt;0,F11/C11,"")</x:f>
        <x:v>0.2977496141035015</x:v>
      </x:c>
      <x:c r="H11" s="22" t="n">
        <x:v>1163</x:v>
      </x:c>
      <x:c r="I11" s="24" t="n">
        <x:f>IF(C11&gt;0,H11/C11,"")</x:f>
        <x:v>0.09448371110569502</x:v>
      </x:c>
      <x:c r="J11" s="22" t="n">
        <x:v>1310</x:v>
      </x:c>
      <x:c r="K11" s="24" t="n">
        <x:f>IF(C11&gt;0,J11/C11,"")</x:f>
        <x:v>0.10642619221707693</x:v>
      </x:c>
      <x:c r="L11" s="26" t="n">
        <x:v>13.070505971240557</x:v>
      </x:c>
      <x:c r="M11" s="26" t="n">
        <x:v>24</x:v>
      </x:c>
    </x:row>
    <x:row r="12" ht="25" customHeight="1">
      <x:c r="A12" s="18" t="str">
        <x:v>提额0至3000</x:v>
      </x:c>
      <x:c r="B12" s="17" t="n">
        <x:v>-6</x:v>
      </x:c>
      <x:c r="C12" s="21" t="n">
        <x:v>39532</x:v>
      </x:c>
      <x:c r="D12" s="21" t="n">
        <x:v>17719</x:v>
      </x:c>
      <x:c r="E12" s="23" t="n">
        <x:f>IF(C12&gt;0,D12/C12,"")</x:f>
        <x:v>0.44821916422139024</x:v>
      </x:c>
      <x:c r="F12" s="21" t="n">
        <x:v>8781</x:v>
      </x:c>
      <x:c r="G12" s="23" t="n">
        <x:f>IF(C12&gt;0,F12/C12,"")</x:f>
        <x:v>0.22212384903369423</x:v>
      </x:c>
      <x:c r="H12" s="21" t="n">
        <x:v>3166</x:v>
      </x:c>
      <x:c r="I12" s="23" t="n">
        <x:f>IF(C12&gt;0,H12/C12,"")</x:f>
        <x:v>0.08008701811190934</x:v>
      </x:c>
      <x:c r="J12" s="21" t="n">
        <x:v>3778</x:v>
      </x:c>
      <x:c r="K12" s="23" t="n">
        <x:f>IF(C12&gt;0,J12/C12,"")</x:f>
        <x:v>0.09556814732368714</x:v>
      </x:c>
      <x:c r="L12" s="25" t="n">
        <x:v>13.866353460487707</x:v>
      </x:c>
      <x:c r="M12" s="25" t="n">
        <x:v>24</x:v>
      </x:c>
    </x:row>
    <x:row r="13" ht="25" customHeight="1">
      <x:c r="A13" s="19" t="str">
        <x:v>额度不变</x:v>
      </x:c>
      <x:c r="B13" s="20" t="n">
        <x:v>-6</x:v>
      </x:c>
      <x:c r="C13" s="22" t="n">
        <x:v>9358</x:v>
      </x:c>
      <x:c r="D13" s="22" t="n">
        <x:v>4213</x:v>
      </x:c>
      <x:c r="E13" s="24" t="n">
        <x:f>IF(C13&gt;0,D13/C13,"")</x:f>
        <x:v>0.45020303483650354</x:v>
      </x:c>
      <x:c r="F13" s="22" t="n">
        <x:v>2110</x:v>
      </x:c>
      <x:c r="G13" s="24" t="n">
        <x:f>IF(C13&gt;0,F13/C13,"")</x:f>
        <x:v>0.2254755289591793</x:v>
      </x:c>
      <x:c r="H13" s="22" t="n">
        <x:v>657</x:v>
      </x:c>
      <x:c r="I13" s="24" t="n">
        <x:f>IF(C13&gt;0,H13/C13,"")</x:f>
        <x:v>0.07020730925411413</x:v>
      </x:c>
      <x:c r="J13" s="22" t="n">
        <x:v>732</x:v>
      </x:c>
      <x:c r="K13" s="24" t="n">
        <x:f>IF(C13&gt;0,J13/C13,"")</x:f>
        <x:v>0.07822184227399016</x:v>
      </x:c>
      <x:c r="L13" s="26" t="n">
        <x:v>12.75520559948707</x:v>
      </x:c>
      <x:c r="M13" s="26" t="n">
        <x:v>24</x:v>
      </x:c>
    </x:row>
    <x:row r="14" ht="25" customHeight="1">
      <x:c r="A14" s="18" t="str">
        <x:v>额度降低</x:v>
      </x:c>
      <x:c r="B14" s="17" t="n">
        <x:v>-6</x:v>
      </x:c>
      <x:c r="C14" s="21" t="n">
        <x:v>29883</x:v>
      </x:c>
      <x:c r="D14" s="21" t="n">
        <x:v>13822</x:v>
      </x:c>
      <x:c r="E14" s="23" t="n">
        <x:f>IF(C14&gt;0,D14/C14,"")</x:f>
        <x:v>0.4625372285245792</x:v>
      </x:c>
      <x:c r="F14" s="21" t="n">
        <x:v>4919</x:v>
      </x:c>
      <x:c r="G14" s="23" t="n">
        <x:f>IF(C14&gt;0,F14/C14,"")</x:f>
        <x:v>0.1646086403640866</x:v>
      </x:c>
      <x:c r="H14" s="21" t="n">
        <x:v>2008</x:v>
      </x:c>
      <x:c r="I14" s="23" t="n">
        <x:f>IF(C14&gt;0,H14/C14,"")</x:f>
        <x:v>0.06719539537529699</x:v>
      </x:c>
      <x:c r="J14" s="21" t="n">
        <x:v>2176</x:v>
      </x:c>
      <x:c r="K14" s="23" t="n">
        <x:f>IF(C14&gt;0,J14/C14,"")</x:f>
        <x:v>0.07281732088478399</x:v>
      </x:c>
      <x:c r="L14" s="25" t="n">
        <x:v>11.47222849111535</x:v>
      </x:c>
      <x:c r="M14" s="25" t="n">
        <x:v>24</x:v>
      </x:c>
    </x:row>
    <x:row r="15" ht="25" customHeight="1">
      <x:c r="A15" s="19" t="str">
        <x:v>其他T0合计</x:v>
      </x:c>
      <x:c r="B15" s="20" t="n">
        <x:v>-6</x:v>
      </x:c>
      <x:c r="C15" s="22" t="n">
        <x:v>78773</x:v>
      </x:c>
      <x:c r="D15" s="22" t="n">
        <x:v>35754</x:v>
      </x:c>
      <x:c r="E15" s="24" t="n">
        <x:f>IF(C15&gt;0,D15/C15,"")</x:f>
        <x:v>0.4538864839475455</x:v>
      </x:c>
      <x:c r="F15" s="22" t="n">
        <x:v>15810</x:v>
      </x:c>
      <x:c r="G15" s="24" t="n">
        <x:f>IF(C15&gt;0,F15/C15,"")</x:f>
        <x:v>0.20070328665913448</x:v>
      </x:c>
      <x:c r="H15" s="22" t="n">
        <x:v>5831</x:v>
      </x:c>
      <x:c r="I15" s="24" t="n">
        <x:f>IF(C15&gt;0,H15/C15,"")</x:f>
        <x:v>0.07402282507965928</x:v>
      </x:c>
      <x:c r="J15" s="22" t="n">
        <x:v>6686</x:v>
      </x:c>
      <x:c r="K15" s="24" t="n">
        <x:f>IF(C15&gt;0,J15/C15,"")</x:f>
        <x:v>0.08487679788760108</x:v>
      </x:c>
      <x:c r="L15" s="26" t="n">
        <x:v>12.826127010523914</x:v>
      </x:c>
      <x:c r="M15" s="26" t="n">
        <x:v>24</x:v>
      </x:c>
    </x:row>
    <x:row r="16" ht="25" customHeight="1">
      <x:c r="A16" s="18" t="str">
        <x:v>提额≥3000</x:v>
      </x:c>
      <x:c r="B16" s="17" t="n">
        <x:v>-5</x:v>
      </x:c>
      <x:c r="C16" s="21" t="n">
        <x:v>12309</x:v>
      </x:c>
      <x:c r="D16" s="21" t="n">
        <x:v>4993</x:v>
      </x:c>
      <x:c r="E16" s="23" t="n">
        <x:f>IF(C16&gt;0,D16/C16,"")</x:f>
        <x:v>0.40563815094646194</x:v>
      </x:c>
      <x:c r="F16" s="21" t="n">
        <x:v>3246</x:v>
      </x:c>
      <x:c r="G16" s="23" t="n">
        <x:f>IF(C16&gt;0,F16/C16,"")</x:f>
        <x:v>0.26370948086765783</x:v>
      </x:c>
      <x:c r="H16" s="21" t="n">
        <x:v>1024</x:v>
      </x:c>
      <x:c r="I16" s="23" t="n">
        <x:f>IF(C16&gt;0,H16/C16,"")</x:f>
        <x:v>0.08319116093915022</x:v>
      </x:c>
      <x:c r="J16" s="21" t="n">
        <x:v>1177</x:v>
      </x:c>
      <x:c r="K16" s="23" t="n">
        <x:f>IF(C16&gt;0,J16/C16,"")</x:f>
        <x:v>0.09562109025915996</x:v>
      </x:c>
      <x:c r="L16" s="25" t="n">
        <x:v>10.756981314485335</x:v>
      </x:c>
      <x:c r="M16" s="25" t="n">
        <x:v>24</x:v>
      </x:c>
    </x:row>
    <x:row r="17" ht="25" customHeight="1">
      <x:c r="A17" s="19" t="str">
        <x:v>提额0至3000</x:v>
      </x:c>
      <x:c r="B17" s="20" t="n">
        <x:v>-5</x:v>
      </x:c>
      <x:c r="C17" s="22" t="n">
        <x:v>39532</x:v>
      </x:c>
      <x:c r="D17" s="22" t="n">
        <x:v>15569</x:v>
      </x:c>
      <x:c r="E17" s="24" t="n">
        <x:f>IF(C17&gt;0,D17/C17,"")</x:f>
        <x:v>0.3938328442780532</x:v>
      </x:c>
      <x:c r="F17" s="22" t="n">
        <x:v>7175</x:v>
      </x:c>
      <x:c r="G17" s="24" t="n">
        <x:f>IF(C17&gt;0,F17/C17,"")</x:f>
        <x:v>0.18149853283415968</x:v>
      </x:c>
      <x:c r="H17" s="22" t="n">
        <x:v>2553</x:v>
      </x:c>
      <x:c r="I17" s="24" t="n">
        <x:f>IF(C17&gt;0,H17/C17,"")</x:f>
        <x:v>0.06458059293736719</x:v>
      </x:c>
      <x:c r="J17" s="22" t="n">
        <x:v>3091</x:v>
      </x:c>
      <x:c r="K17" s="24" t="n">
        <x:f>IF(C17&gt;0,J17/C17,"")</x:f>
        <x:v>0.07818982090458362</x:v>
      </x:c>
      <x:c r="L17" s="26" t="n">
        <x:v>10.95064082262471</x:v>
      </x:c>
      <x:c r="M17" s="26" t="n">
        <x:v>24</x:v>
      </x:c>
    </x:row>
    <x:row r="18" ht="25" customHeight="1">
      <x:c r="A18" s="18" t="str">
        <x:v>额度不变</x:v>
      </x:c>
      <x:c r="B18" s="17" t="n">
        <x:v>-5</x:v>
      </x:c>
      <x:c r="C18" s="21" t="n">
        <x:v>9358</x:v>
      </x:c>
      <x:c r="D18" s="21" t="n">
        <x:v>3243</x:v>
      </x:c>
      <x:c r="E18" s="23" t="n">
        <x:f>IF(C18&gt;0,D18/C18,"")</x:f>
        <x:v>0.34654840777944007</x:v>
      </x:c>
      <x:c r="F18" s="21" t="n">
        <x:v>1164</x:v>
      </x:c>
      <x:c r="G18" s="23" t="n">
        <x:f>IF(C18&gt;0,F18/C18,"")</x:f>
        <x:v>0.12438555246847617</x:v>
      </x:c>
      <x:c r="H18" s="21" t="n">
        <x:v>383</x:v>
      </x:c>
      <x:c r="I18" s="23" t="n">
        <x:f>IF(C18&gt;0,H18/C18,"")</x:f>
        <x:v>0.04092754862150032</x:v>
      </x:c>
      <x:c r="J18" s="21" t="n">
        <x:v>374</x:v>
      </x:c>
      <x:c r="K18" s="23" t="n">
        <x:f>IF(C18&gt;0,J18/C18,"")</x:f>
        <x:v>0.039965804659115194</x:v>
      </x:c>
      <x:c r="L18" s="25" t="n">
        <x:v>7.503617867065612</x:v>
      </x:c>
      <x:c r="M18" s="25" t="n">
        <x:v>24</x:v>
      </x:c>
    </x:row>
    <x:row r="19" ht="25" customHeight="1">
      <x:c r="A19" s="19" t="str">
        <x:v>额度降低</x:v>
      </x:c>
      <x:c r="B19" s="20" t="n">
        <x:v>-5</x:v>
      </x:c>
      <x:c r="C19" s="22" t="n">
        <x:v>29883</x:v>
      </x:c>
      <x:c r="D19" s="22" t="n">
        <x:v>11647</x:v>
      </x:c>
      <x:c r="E19" s="24" t="n">
        <x:f>IF(C19&gt;0,D19/C19,"")</x:f>
        <x:v>0.3897533714821136</x:v>
      </x:c>
      <x:c r="F19" s="22" t="n">
        <x:v>3051</x:v>
      </x:c>
      <x:c r="G19" s="24" t="n">
        <x:f>IF(C19&gt;0,F19/C19,"")</x:f>
        <x:v>0.10209818291336212</x:v>
      </x:c>
      <x:c r="H19" s="22" t="n">
        <x:v>1122</x:v>
      </x:c>
      <x:c r="I19" s="24" t="n">
        <x:f>IF(C19&gt;0,H19/C19,"")</x:f>
        <x:v>0.03754643108121675</x:v>
      </x:c>
      <x:c r="J19" s="22" t="n">
        <x:v>1300</x:v>
      </x:c>
      <x:c r="K19" s="24" t="n">
        <x:f>IF(C19&gt;0,J19/C19,"")</x:f>
        <x:v>0.0435029950138875</x:v>
      </x:c>
      <x:c r="L19" s="26" t="n">
        <x:v>6.776834353980524</x:v>
      </x:c>
      <x:c r="M19" s="26" t="n">
        <x:v>24</x:v>
      </x:c>
    </x:row>
    <x:row r="20" ht="25" customHeight="1">
      <x:c r="A20" s="18" t="str">
        <x:v>其他T0合计</x:v>
      </x:c>
      <x:c r="B20" s="17" t="n">
        <x:v>-5</x:v>
      </x:c>
      <x:c r="C20" s="21" t="n">
        <x:v>78773</x:v>
      </x:c>
      <x:c r="D20" s="21" t="n">
        <x:v>30459</x:v>
      </x:c>
      <x:c r="E20" s="23" t="n">
        <x:f>IF(C20&gt;0,D20/C20,"")</x:f>
        <x:v>0.38666802076853746</x:v>
      </x:c>
      <x:c r="F20" s="21" t="n">
        <x:v>11390</x:v>
      </x:c>
      <x:c r="G20" s="23" t="n">
        <x:f>IF(C20&gt;0,F20/C20,"")</x:f>
        <x:v>0.14459269038883882</x:v>
      </x:c>
      <x:c r="H20" s="21" t="n">
        <x:v>4058</x:v>
      </x:c>
      <x:c r="I20" s="23" t="n">
        <x:f>IF(C20&gt;0,H20/C20,"")</x:f>
        <x:v>0.05151511304634837</x:v>
      </x:c>
      <x:c r="J20" s="21" t="n">
        <x:v>4765</x:v>
      </x:c>
      <x:c r="K20" s="23" t="n">
        <x:f>IF(C20&gt;0,J20/C20,"")</x:f>
        <x:v>0.06049026950858797</x:v>
      </x:c>
      <x:c r="L20" s="25" t="n">
        <x:v>8.957786678176532</x:v>
      </x:c>
      <x:c r="M20" s="25" t="n">
        <x:v>24</x:v>
      </x:c>
    </x:row>
    <x:row r="21" ht="25" customHeight="1">
      <x:c r="A21" s="19" t="str">
        <x:v>提额≥3000</x:v>
      </x:c>
      <x:c r="B21" s="20" t="n">
        <x:v>-4</x:v>
      </x:c>
      <x:c r="C21" s="22" t="n">
        <x:v>12309</x:v>
      </x:c>
      <x:c r="D21" s="22" t="n">
        <x:v>4769</x:v>
      </x:c>
      <x:c r="E21" s="24" t="n">
        <x:f>IF(C21&gt;0,D21/C21,"")</x:f>
        <x:v>0.38744008449102285</x:v>
      </x:c>
      <x:c r="F21" s="22" t="n">
        <x:v>3069</x:v>
      </x:c>
      <x:c r="G21" s="24" t="n">
        <x:f>IF(C21&gt;0,F21/C21,"")</x:f>
        <x:v>0.24932975871313673</x:v>
      </x:c>
      <x:c r="H21" s="22" t="n">
        <x:v>875</x:v>
      </x:c>
      <x:c r="I21" s="24" t="n">
        <x:f>IF(C21&gt;0,H21/C21,"")</x:f>
        <x:v>0.07108619709155903</x:v>
      </x:c>
      <x:c r="J21" s="22" t="n">
        <x:v>1008</x:v>
      </x:c>
      <x:c r="K21" s="24" t="n">
        <x:f>IF(C21&gt;0,J21/C21,"")</x:f>
        <x:v>0.081891299049476</x:v>
      </x:c>
      <x:c r="L21" s="26" t="n">
        <x:v>9.432919489804206</x:v>
      </x:c>
      <x:c r="M21" s="26" t="n">
        <x:v>24</x:v>
      </x:c>
    </x:row>
    <x:row r="22" ht="25" customHeight="1">
      <x:c r="A22" s="18" t="str">
        <x:v>提额0至3000</x:v>
      </x:c>
      <x:c r="B22" s="17" t="n">
        <x:v>-4</x:v>
      </x:c>
      <x:c r="C22" s="21" t="n">
        <x:v>39532</x:v>
      </x:c>
      <x:c r="D22" s="21" t="n">
        <x:v>14022</x:v>
      </x:c>
      <x:c r="E22" s="23" t="n">
        <x:f>IF(C22&gt;0,D22/C22,"")</x:f>
        <x:v>0.3546999898816149</x:v>
      </x:c>
      <x:c r="F22" s="21" t="n">
        <x:v>5661</x:v>
      </x:c>
      <x:c r="G22" s="23" t="n">
        <x:f>IF(C22&gt;0,F22/C22,"")</x:f>
        <x:v>0.14320044520894465</x:v>
      </x:c>
      <x:c r="H22" s="21" t="n">
        <x:v>1898</x:v>
      </x:c>
      <x:c r="I22" s="23" t="n">
        <x:f>IF(C22&gt;0,H22/C22,"")</x:f>
        <x:v>0.048011737326722655</x:v>
      </x:c>
      <x:c r="J22" s="21" t="n">
        <x:v>2275</x:v>
      </x:c>
      <x:c r="K22" s="23" t="n">
        <x:f>IF(C22&gt;0,J22/C22,"")</x:f>
        <x:v>0.057548315288879895</x:v>
      </x:c>
      <x:c r="L22" s="25" t="n">
        <x:v>7.920965496306789</x:v>
      </x:c>
      <x:c r="M22" s="25" t="n">
        <x:v>24</x:v>
      </x:c>
    </x:row>
    <x:row r="23" ht="25" customHeight="1">
      <x:c r="A23" s="19" t="str">
        <x:v>额度不变</x:v>
      </x:c>
      <x:c r="B23" s="20" t="n">
        <x:v>-4</x:v>
      </x:c>
      <x:c r="C23" s="22" t="n">
        <x:v>9358</x:v>
      </x:c>
      <x:c r="D23" s="22" t="n">
        <x:v>2906</x:v>
      </x:c>
      <x:c r="E23" s="24" t="n">
        <x:f>IF(C23&gt;0,D23/C23,"")</x:f>
        <x:v>0.31053643941013037</x:v>
      </x:c>
      <x:c r="F23" s="22" t="n">
        <x:v>747</x:v>
      </x:c>
      <x:c r="G23" s="24" t="n">
        <x:f>IF(C23&gt;0,F23/C23,"")</x:f>
        <x:v>0.07982474887796538</x:v>
      </x:c>
      <x:c r="H23" s="22" t="n">
        <x:v>224</x:v>
      </x:c>
      <x:c r="I23" s="24" t="n">
        <x:f>IF(C23&gt;0,H23/C23,"")</x:f>
        <x:v>0.023936738619363112</x:v>
      </x:c>
      <x:c r="J23" s="22" t="n">
        <x:v>274</x:v>
      </x:c>
      <x:c r="K23" s="24" t="n">
        <x:f>IF(C23&gt;0,J23/C23,"")</x:f>
        <x:v>0.029279760632613807</x:v>
      </x:c>
      <x:c r="L23" s="26" t="n">
        <x:v>4.19681887155375</x:v>
      </x:c>
      <x:c r="M23" s="26" t="n">
        <x:v>24</x:v>
      </x:c>
    </x:row>
    <x:row r="24" ht="25" customHeight="1">
      <x:c r="A24" s="18" t="str">
        <x:v>额度降低</x:v>
      </x:c>
      <x:c r="B24" s="17" t="n">
        <x:v>-4</x:v>
      </x:c>
      <x:c r="C24" s="21" t="n">
        <x:v>29883</x:v>
      </x:c>
      <x:c r="D24" s="21" t="n">
        <x:v>10438</x:v>
      </x:c>
      <x:c r="E24" s="23" t="n">
        <x:f>IF(C24&gt;0,D24/C24,"")</x:f>
        <x:v>0.3492955861191982</x:v>
      </x:c>
      <x:c r="F24" s="21" t="n">
        <x:v>2153</x:v>
      </x:c>
      <x:c r="G24" s="23" t="n">
        <x:f>IF(C24&gt;0,F24/C24,"")</x:f>
        <x:v>0.07204765251146136</x:v>
      </x:c>
      <x:c r="H24" s="21" t="n">
        <x:v>757</x:v>
      </x:c>
      <x:c r="I24" s="23" t="n">
        <x:f>IF(C24&gt;0,H24/C24,"")</x:f>
        <x:v>0.025332128635009873</x:v>
      </x:c>
      <x:c r="J24" s="21" t="n">
        <x:v>847</x:v>
      </x:c>
      <x:c r="K24" s="23" t="n">
        <x:f>IF(C24&gt;0,J24/C24,"")</x:f>
        <x:v>0.02834387444366362</x:v>
      </x:c>
      <x:c r="L24" s="25" t="n">
        <x:v>4.2337717431315465</x:v>
      </x:c>
      <x:c r="M24" s="25" t="n">
        <x:v>24</x:v>
      </x:c>
    </x:row>
    <x:row r="25" ht="25" customHeight="1">
      <x:c r="A25" s="19" t="str">
        <x:v>其他T0合计</x:v>
      </x:c>
      <x:c r="B25" s="20" t="n">
        <x:v>-4</x:v>
      </x:c>
      <x:c r="C25" s="22" t="n">
        <x:v>78773</x:v>
      </x:c>
      <x:c r="D25" s="22" t="n">
        <x:v>27366</x:v>
      </x:c>
      <x:c r="E25" s="24" t="n">
        <x:f>IF(C25&gt;0,D25/C25,"")</x:f>
        <x:v>0.347403298084369</x:v>
      </x:c>
      <x:c r="F25" s="22" t="n">
        <x:v>8561</x:v>
      </x:c>
      <x:c r="G25" s="24" t="n">
        <x:f>IF(C25&gt;0,F25/C25,"")</x:f>
        <x:v>0.10867936983484189</x:v>
      </x:c>
      <x:c r="H25" s="22" t="n">
        <x:v>2879</x:v>
      </x:c>
      <x:c r="I25" s="24" t="n">
        <x:f>IF(C25&gt;0,H25/C25,"")</x:f>
        <x:v>0.03654805580592335</x:v>
      </x:c>
      <x:c r="J25" s="22" t="n">
        <x:v>3396</x:v>
      </x:c>
      <x:c r="K25" s="24" t="n">
        <x:f>IF(C25&gt;0,J25/C25,"")</x:f>
        <x:v>0.043111218310842546</x:v>
      </x:c>
      <x:c r="L25" s="26" t="n">
        <x:v>6.07978926789636</x:v>
      </x:c>
      <x:c r="M25" s="26" t="n">
        <x:v>24</x:v>
      </x:c>
    </x:row>
    <x:row r="26" ht="25" customHeight="1">
      <x:c r="A26" s="18" t="str">
        <x:v>提额≥3000</x:v>
      </x:c>
      <x:c r="B26" s="17" t="n">
        <x:v>-3</x:v>
      </x:c>
      <x:c r="C26" s="21" t="n">
        <x:v>12309</x:v>
      </x:c>
      <x:c r="D26" s="21" t="n">
        <x:v>4522</x:v>
      </x:c>
      <x:c r="E26" s="23" t="n">
        <x:f>IF(C26&gt;0,D26/C26,"")</x:f>
        <x:v>0.367373466569177</x:v>
      </x:c>
      <x:c r="F26" s="21" t="n">
        <x:v>2864</x:v>
      </x:c>
      <x:c r="G26" s="23" t="n">
        <x:f>IF(C26&gt;0,F26/C26,"")</x:f>
        <x:v>0.23267527825168577</x:v>
      </x:c>
      <x:c r="H26" s="21" t="n">
        <x:v>777</x:v>
      </x:c>
      <x:c r="I26" s="23" t="n">
        <x:f>IF(C26&gt;0,H26/C26,"")</x:f>
        <x:v>0.06312454301730441</x:v>
      </x:c>
      <x:c r="J26" s="21" t="n">
        <x:v>896</x:v>
      </x:c>
      <x:c r="K26" s="23" t="n">
        <x:f>IF(C26&gt;0,J26/C26,"")</x:f>
        <x:v>0.07279226582175644</x:v>
      </x:c>
      <x:c r="L26" s="25" t="n">
        <x:v>6.637517832480299</x:v>
      </x:c>
      <x:c r="M26" s="25" t="n">
        <x:v>24</x:v>
      </x:c>
    </x:row>
    <x:row r="27" ht="25" customHeight="1">
      <x:c r="A27" s="19" t="str">
        <x:v>提额0至3000</x:v>
      </x:c>
      <x:c r="B27" s="20" t="n">
        <x:v>-3</x:v>
      </x:c>
      <x:c r="C27" s="22" t="n">
        <x:v>39532</x:v>
      </x:c>
      <x:c r="D27" s="22" t="n">
        <x:v>12577</x:v>
      </x:c>
      <x:c r="E27" s="24" t="n">
        <x:f>IF(C27&gt;0,D27/C27,"")</x:f>
        <x:v>0.31814732368713955</x:v>
      </x:c>
      <x:c r="F27" s="22" t="n">
        <x:v>3938</x:v>
      </x:c>
      <x:c r="G27" s="24" t="n">
        <x:f>IF(C27&gt;0,F27/C27,"")</x:f>
        <x:v>0.09961550136598199</x:v>
      </x:c>
      <x:c r="H27" s="22" t="n">
        <x:v>1164</x:v>
      </x:c>
      <x:c r="I27" s="24" t="n">
        <x:f>IF(C27&gt;0,H27/C27,"")</x:f>
        <x:v>0.029444500657695032</x:v>
      </x:c>
      <x:c r="J27" s="22" t="n">
        <x:v>1356</x:v>
      </x:c>
      <x:c r="K27" s="24" t="n">
        <x:f>IF(C27&gt;0,J27/C27,"")</x:f>
        <x:v>0.03430132550844885</x:v>
      </x:c>
      <x:c r="L27" s="26" t="n">
        <x:v>4.013970580795305</x:v>
      </x:c>
      <x:c r="M27" s="26" t="n">
        <x:v>24</x:v>
      </x:c>
    </x:row>
    <x:row r="28" ht="25" customHeight="1">
      <x:c r="A28" s="18" t="str">
        <x:v>额度不变</x:v>
      </x:c>
      <x:c r="B28" s="17" t="n">
        <x:v>-3</x:v>
      </x:c>
      <x:c r="C28" s="21" t="n">
        <x:v>9358</x:v>
      </x:c>
      <x:c r="D28" s="21" t="n">
        <x:v>2457</x:v>
      </x:c>
      <x:c r="E28" s="23" t="n">
        <x:f>IF(C28&gt;0,D28/C28,"")</x:f>
        <x:v>0.26255610173113914</x:v>
      </x:c>
      <x:c r="F28" s="21" t="n">
        <x:v>320</x:v>
      </x:c>
      <x:c r="G28" s="23" t="n">
        <x:f>IF(C28&gt;0,F28/C28,"")</x:f>
        <x:v>0.03419534088480444</x:v>
      </x:c>
      <x:c r="H28" s="21" t="n">
        <x:v>81</x:v>
      </x:c>
      <x:c r="I28" s="23" t="n">
        <x:f>IF(C28&gt;0,H28/C28,"")</x:f>
        <x:v>0.008655695661466125</x:v>
      </x:c>
      <x:c r="J28" s="21" t="n">
        <x:v>107</x:v>
      </x:c>
      <x:c r="K28" s="23" t="n">
        <x:f>IF(C28&gt;0,J28/C28,"")</x:f>
        <x:v>0.011434067108356486</x:v>
      </x:c>
      <x:c r="L28" s="25" t="n">
        <x:v>1.5188698439837574</x:v>
      </x:c>
      <x:c r="M28" s="25" t="n">
        <x:v>24</x:v>
      </x:c>
    </x:row>
    <x:row r="29" ht="25" customHeight="1">
      <x:c r="A29" s="19" t="str">
        <x:v>额度降低</x:v>
      </x:c>
      <x:c r="B29" s="20" t="n">
        <x:v>-3</x:v>
      </x:c>
      <x:c r="C29" s="22" t="n">
        <x:v>29883</x:v>
      </x:c>
      <x:c r="D29" s="22" t="n">
        <x:v>9452</x:v>
      </x:c>
      <x:c r="E29" s="24" t="n">
        <x:f>IF(C29&gt;0,D29/C29,"")</x:f>
        <x:v>0.31630023759328046</x:v>
      </x:c>
      <x:c r="F29" s="22" t="n">
        <x:v>1238</x:v>
      </x:c>
      <x:c r="G29" s="24" t="n">
        <x:f>IF(C29&gt;0,F29/C29,"")</x:f>
        <x:v>0.041428236790148246</x:v>
      </x:c>
      <x:c r="H29" s="22" t="n">
        <x:v>422</x:v>
      </x:c>
      <x:c r="I29" s="24" t="n">
        <x:f>IF(C29&gt;0,H29/C29,"")</x:f>
        <x:v>0.014121741458354249</x:v>
      </x:c>
      <x:c r="J29" s="22" t="n">
        <x:v>423</x:v>
      </x:c>
      <x:c r="K29" s="24" t="n">
        <x:f>IF(C29&gt;0,J29/C29,"")</x:f>
        <x:v>0.014155205300672623</x:v>
      </x:c>
      <x:c r="L29" s="26" t="n">
        <x:v>1.905394672556303</x:v>
      </x:c>
      <x:c r="M29" s="26" t="n">
        <x:v>24</x:v>
      </x:c>
    </x:row>
    <x:row r="30" ht="25" customHeight="1">
      <x:c r="A30" s="18" t="str">
        <x:v>其他T0合计</x:v>
      </x:c>
      <x:c r="B30" s="17" t="n">
        <x:v>-3</x:v>
      </x:c>
      <x:c r="C30" s="21" t="n">
        <x:v>78773</x:v>
      </x:c>
      <x:c r="D30" s="21" t="n">
        <x:v>24486</x:v>
      </x:c>
      <x:c r="E30" s="23" t="n">
        <x:f>IF(C30&gt;0,D30/C30,"")</x:f>
        <x:v>0.3108425475734071</x:v>
      </x:c>
      <x:c r="F30" s="21" t="n">
        <x:v>5496</x:v>
      </x:c>
      <x:c r="G30" s="23" t="n">
        <x:f>IF(C30&gt;0,F30/C30,"")</x:f>
        <x:v>0.06977009889175224</x:v>
      </x:c>
      <x:c r="H30" s="21" t="n">
        <x:v>1667</x:v>
      </x:c>
      <x:c r="I30" s="23" t="n">
        <x:f>IF(C30&gt;0,H30/C30,"")</x:f>
        <x:v>0.021162073299226893</x:v>
      </x:c>
      <x:c r="J30" s="21" t="n">
        <x:v>1886</x:v>
      </x:c>
      <x:c r="K30" s="23" t="n">
        <x:f>IF(C30&gt;0,J30/C30,"")</x:f>
        <x:v>0.023942213702664618</x:v>
      </x:c>
      <x:c r="L30" s="25" t="n">
        <x:v>2.9176593248955864</x:v>
      </x:c>
      <x:c r="M30" s="25" t="n">
        <x:v>24</x:v>
      </x:c>
    </x:row>
    <x:row r="31" ht="25" customHeight="1">
      <x:c r="A31" s="19" t="str">
        <x:v>提额≥3000</x:v>
      </x:c>
      <x:c r="B31" s="20" t="n">
        <x:v>-2</x:v>
      </x:c>
      <x:c r="C31" s="22" t="n">
        <x:v>12309</x:v>
      </x:c>
      <x:c r="D31" s="22" t="n">
        <x:v>4719</x:v>
      </x:c>
      <x:c r="E31" s="24" t="n">
        <x:f>IF(C31&gt;0,D31/C31,"")</x:f>
        <x:v>0.38337801608579086</x:v>
      </x:c>
      <x:c r="F31" s="22" t="n">
        <x:v>3088</x:v>
      </x:c>
      <x:c r="G31" s="24" t="n">
        <x:f>IF(C31&gt;0,F31/C31,"")</x:f>
        <x:v>0.25087334470712486</x:v>
      </x:c>
      <x:c r="H31" s="22" t="n">
        <x:v>843</x:v>
      </x:c>
      <x:c r="I31" s="24" t="n">
        <x:f>IF(C31&gt;0,H31/C31,"")</x:f>
        <x:v>0.06848647331221058</x:v>
      </x:c>
      <x:c r="J31" s="22" t="n">
        <x:v>964</x:v>
      </x:c>
      <x:c r="K31" s="24" t="n">
        <x:f>IF(C31&gt;0,J31/C31,"")</x:f>
        <x:v>0.07831667885287188</x:v>
      </x:c>
      <x:c r="L31" s="26" t="n">
        <x:v>7.881714192867008</x:v>
      </x:c>
      <x:c r="M31" s="26" t="n">
        <x:v>24</x:v>
      </x:c>
    </x:row>
    <x:row r="32" ht="25" customHeight="1">
      <x:c r="A32" s="18" t="str">
        <x:v>提额0至3000</x:v>
      </x:c>
      <x:c r="B32" s="17" t="n">
        <x:v>-2</x:v>
      </x:c>
      <x:c r="C32" s="21" t="n">
        <x:v>39532</x:v>
      </x:c>
      <x:c r="D32" s="21" t="n">
        <x:v>13021</x:v>
      </x:c>
      <x:c r="E32" s="23" t="n">
        <x:f>IF(C32&gt;0,D32/C32,"")</x:f>
        <x:v>0.3293787311545077</x:v>
      </x:c>
      <x:c r="F32" s="21" t="n">
        <x:v>4221</x:v>
      </x:c>
      <x:c r="G32" s="23" t="n">
        <x:f>IF(C32&gt;0,F32/C32,"")</x:f>
        <x:v>0.106774258828291</x:v>
      </x:c>
      <x:c r="H32" s="21" t="n">
        <x:v>1149</x:v>
      </x:c>
      <x:c r="I32" s="23" t="n">
        <x:f>IF(C32&gt;0,H32/C32,"")</x:f>
        <x:v>0.02906506121622989</x:v>
      </x:c>
      <x:c r="J32" s="21" t="n">
        <x:v>1397</x:v>
      </x:c>
      <x:c r="K32" s="23" t="n">
        <x:f>IF(C32&gt;0,J32/C32,"")</x:f>
        <x:v>0.035338459981786904</x:v>
      </x:c>
      <x:c r="L32" s="25" t="n">
        <x:v>4.265024688859659</x:v>
      </x:c>
      <x:c r="M32" s="25" t="n">
        <x:v>24</x:v>
      </x:c>
    </x:row>
    <x:row r="33" ht="25" customHeight="1">
      <x:c r="A33" s="19" t="str">
        <x:v>额度不变</x:v>
      </x:c>
      <x:c r="B33" s="20" t="n">
        <x:v>-2</x:v>
      </x:c>
      <x:c r="C33" s="22" t="n">
        <x:v>9358</x:v>
      </x:c>
      <x:c r="D33" s="22" t="n">
        <x:v>2560</x:v>
      </x:c>
      <x:c r="E33" s="24" t="n">
        <x:f>IF(C33&gt;0,D33/C33,"")</x:f>
        <x:v>0.27356272707843554</x:v>
      </x:c>
      <x:c r="F33" s="22" t="n">
        <x:v>310</x:v>
      </x:c>
      <x:c r="G33" s="24" t="n">
        <x:f>IF(C33&gt;0,F33/C33,"")</x:f>
        <x:v>0.033126736482154306</x:v>
      </x:c>
      <x:c r="H33" s="22" t="n">
        <x:v>87</x:v>
      </x:c>
      <x:c r="I33" s="24" t="n">
        <x:f>IF(C33&gt;0,H33/C33,"")</x:f>
        <x:v>0.009296858303056208</x:v>
      </x:c>
      <x:c r="J33" s="22" t="n">
        <x:v>101</x:v>
      </x:c>
      <x:c r="K33" s="24" t="n">
        <x:f>IF(C33&gt;0,J33/C33,"")</x:f>
        <x:v>0.010792904466766402</x:v>
      </x:c>
      <x:c r="L33" s="26" t="n">
        <x:v>1.637364500961744</x:v>
      </x:c>
      <x:c r="M33" s="26" t="n">
        <x:v>24</x:v>
      </x:c>
    </x:row>
    <x:row r="34" ht="25" customHeight="1">
      <x:c r="A34" s="18" t="str">
        <x:v>额度降低</x:v>
      </x:c>
      <x:c r="B34" s="17" t="n">
        <x:v>-2</x:v>
      </x:c>
      <x:c r="C34" s="21" t="n">
        <x:v>29883</x:v>
      </x:c>
      <x:c r="D34" s="21" t="n">
        <x:v>9904</x:v>
      </x:c>
      <x:c r="E34" s="23" t="n">
        <x:f>IF(C34&gt;0,D34/C34,"")</x:f>
        <x:v>0.33142589432118597</x:v>
      </x:c>
      <x:c r="F34" s="21" t="n">
        <x:v>1307</x:v>
      </x:c>
      <x:c r="G34" s="23" t="n">
        <x:f>IF(C34&gt;0,F34/C34,"")</x:f>
        <x:v>0.04373724191011612</x:v>
      </x:c>
      <x:c r="H34" s="21" t="n">
        <x:v>386</x:v>
      </x:c>
      <x:c r="I34" s="23" t="n">
        <x:f>IF(C34&gt;0,H34/C34,"")</x:f>
        <x:v>0.012917043134892748</x:v>
      </x:c>
      <x:c r="J34" s="21" t="n">
        <x:v>461</x:v>
      </x:c>
      <x:c r="K34" s="23" t="n">
        <x:f>IF(C34&gt;0,J34/C34,"")</x:f>
        <x:v>0.015426831308770874</x:v>
      </x:c>
      <x:c r="L34" s="25" t="n">
        <x:v>1.962400863367132</x:v>
      </x:c>
      <x:c r="M34" s="25" t="n">
        <x:v>24</x:v>
      </x:c>
    </x:row>
    <x:row r="35" ht="25" customHeight="1">
      <x:c r="A35" s="19" t="str">
        <x:v>其他T0合计</x:v>
      </x:c>
      <x:c r="B35" s="20" t="n">
        <x:v>-2</x:v>
      </x:c>
      <x:c r="C35" s="22" t="n">
        <x:v>78773</x:v>
      </x:c>
      <x:c r="D35" s="22" t="n">
        <x:v>25485</x:v>
      </x:c>
      <x:c r="E35" s="24" t="n">
        <x:f>IF(C35&gt;0,D35/C35,"")</x:f>
        <x:v>0.32352455790689705</x:v>
      </x:c>
      <x:c r="F35" s="22" t="n">
        <x:v>5838</x:v>
      </x:c>
      <x:c r="G35" s="24" t="n">
        <x:f>IF(C35&gt;0,F35/C35,"")</x:f>
        <x:v>0.07411168801492897</x:v>
      </x:c>
      <x:c r="H35" s="22" t="n">
        <x:v>1622</x:v>
      </x:c>
      <x:c r="I35" s="24" t="n">
        <x:f>IF(C35&gt;0,H35/C35,"")</x:f>
        <x:v>0.020590811572493112</x:v>
      </x:c>
      <x:c r="J35" s="22" t="n">
        <x:v>1959</x:v>
      </x:c>
      <x:c r="K35" s="24" t="n">
        <x:f>IF(C35&gt;0,J35/C35,"")</x:f>
        <x:v>0.024868927170477194</x:v>
      </x:c>
      <x:c r="L35" s="26" t="n">
        <x:v>3.0793525446536254</x:v>
      </x:c>
      <x:c r="M35" s="26" t="n">
        <x:v>24</x:v>
      </x:c>
    </x:row>
    <x:row r="36" ht="25" customHeight="1">
      <x:c r="A36" s="18" t="str">
        <x:v>提额≥3000</x:v>
      </x:c>
      <x:c r="B36" s="17" t="n">
        <x:v>-1</x:v>
      </x:c>
      <x:c r="C36" s="21" t="n">
        <x:v>12309</x:v>
      </x:c>
      <x:c r="D36" s="21" t="n">
        <x:v>5551</x:v>
      </x:c>
      <x:c r="E36" s="23" t="n">
        <x:f>IF(C36&gt;0,D36/C36,"")</x:f>
        <x:v>0.45097083434885044</x:v>
      </x:c>
      <x:c r="F36" s="21" t="n">
        <x:v>3788</x:v>
      </x:c>
      <x:c r="G36" s="23" t="n">
        <x:f>IF(C36&gt;0,F36/C36,"")</x:f>
        <x:v>0.3077423023803721</x:v>
      </x:c>
      <x:c r="H36" s="21" t="n">
        <x:v>984</x:v>
      </x:c>
      <x:c r="I36" s="23" t="n">
        <x:f>IF(C36&gt;0,H36/C36,"")</x:f>
        <x:v>0.07994150621496467</x:v>
      </x:c>
      <x:c r="J36" s="21" t="n">
        <x:v>1106</x:v>
      </x:c>
      <x:c r="K36" s="23" t="n">
        <x:f>IF(C36&gt;0,J36/C36,"")</x:f>
        <x:v>0.08985295312373061</x:v>
      </x:c>
      <x:c r="L36" s="25" t="n">
        <x:v>9.46090697863352</x:v>
      </x:c>
      <x:c r="M36" s="25" t="n">
        <x:v>24</x:v>
      </x:c>
    </x:row>
    <x:row r="37" ht="25" customHeight="1">
      <x:c r="A37" s="19" t="str">
        <x:v>提额0至3000</x:v>
      </x:c>
      <x:c r="B37" s="20" t="n">
        <x:v>-1</x:v>
      </x:c>
      <x:c r="C37" s="22" t="n">
        <x:v>39532</x:v>
      </x:c>
      <x:c r="D37" s="22" t="n">
        <x:v>15163</x:v>
      </x:c>
      <x:c r="E37" s="24" t="n">
        <x:f>IF(C37&gt;0,D37/C37,"")</x:f>
        <x:v>0.38356268339573</x:v>
      </x:c>
      <x:c r="F37" s="22" t="n">
        <x:v>5063</x:v>
      </x:c>
      <x:c r="G37" s="24" t="n">
        <x:f>IF(C37&gt;0,F37/C37,"")</x:f>
        <x:v>0.12807345947586765</x:v>
      </x:c>
      <x:c r="H37" s="22" t="n">
        <x:v>1288</x:v>
      </x:c>
      <x:c r="I37" s="24" t="n">
        <x:f>IF(C37&gt;0,H37/C37,"")</x:f>
        <x:v>0.03258120004047354</x:v>
      </x:c>
      <x:c r="J37" s="22" t="n">
        <x:v>1601</x:v>
      </x:c>
      <x:c r="K37" s="24" t="n">
        <x:f>IF(C37&gt;0,J37/C37,"")</x:f>
        <x:v>0.04049883638571284</x:v>
      </x:c>
      <x:c r="L37" s="26" t="n">
        <x:v>4.863436633613275</x:v>
      </x:c>
      <x:c r="M37" s="26" t="n">
        <x:v>24</x:v>
      </x:c>
    </x:row>
    <x:row r="38" ht="25" customHeight="1">
      <x:c r="A38" s="18" t="str">
        <x:v>额度不变</x:v>
      </x:c>
      <x:c r="B38" s="17" t="n">
        <x:v>-1</x:v>
      </x:c>
      <x:c r="C38" s="21" t="n">
        <x:v>9358</x:v>
      </x:c>
      <x:c r="D38" s="21" t="n">
        <x:v>3035</x:v>
      </x:c>
      <x:c r="E38" s="23" t="n">
        <x:f>IF(C38&gt;0,D38/C38,"")</x:f>
        <x:v>0.32432143620431714</x:v>
      </x:c>
      <x:c r="F38" s="21" t="n">
        <x:v>272</x:v>
      </x:c>
      <x:c r="G38" s="23" t="n">
        <x:f>IF(C38&gt;0,F38/C38,"")</x:f>
        <x:v>0.02906603975208378</x:v>
      </x:c>
      <x:c r="H38" s="21" t="n">
        <x:v>76</x:v>
      </x:c>
      <x:c r="I38" s="23" t="n">
        <x:f>IF(C38&gt;0,H38/C38,"")</x:f>
        <x:v>0.008121393460141057</x:v>
      </x:c>
      <x:c r="J38" s="21" t="n">
        <x:v>61</x:v>
      </x:c>
      <x:c r="K38" s="23" t="n">
        <x:f>IF(C38&gt;0,J38/C38,"")</x:f>
        <x:v>0.006518486856165847</x:v>
      </x:c>
      <x:c r="L38" s="25" t="n">
        <x:v>1.1629920923274202</x:v>
      </x:c>
      <x:c r="M38" s="25" t="n">
        <x:v>24</x:v>
      </x:c>
    </x:row>
    <x:row r="39" ht="25" customHeight="1">
      <x:c r="A39" s="19" t="str">
        <x:v>额度降低</x:v>
      </x:c>
      <x:c r="B39" s="20" t="n">
        <x:v>-1</x:v>
      </x:c>
      <x:c r="C39" s="22" t="n">
        <x:v>29883</x:v>
      </x:c>
      <x:c r="D39" s="22" t="n">
        <x:v>11561</x:v>
      </x:c>
      <x:c r="E39" s="24" t="n">
        <x:f>IF(C39&gt;0,D39/C39,"")</x:f>
        <x:v>0.38687548104273334</x:v>
      </x:c>
      <x:c r="F39" s="22" t="n">
        <x:v>1563</x:v>
      </x:c>
      <x:c r="G39" s="24" t="n">
        <x:f>IF(C39&gt;0,F39/C39,"")</x:f>
        <x:v>0.05230398554362012</x:v>
      </x:c>
      <x:c r="H39" s="22" t="n">
        <x:v>410</x:v>
      </x:c>
      <x:c r="I39" s="24" t="n">
        <x:f>IF(C39&gt;0,H39/C39,"")</x:f>
        <x:v>0.013720175350533749</x:v>
      </x:c>
      <x:c r="J39" s="22" t="n">
        <x:v>494</x:v>
      </x:c>
      <x:c r="K39" s="24" t="n">
        <x:f>IF(C39&gt;0,J39/C39,"")</x:f>
        <x:v>0.01653113810527725</x:v>
      </x:c>
      <x:c r="L39" s="26" t="n">
        <x:v>2.221265635980323</x:v>
      </x:c>
      <x:c r="M39" s="26" t="n">
        <x:v>24</x:v>
      </x:c>
    </x:row>
    <x:row r="40" ht="25" customHeight="1">
      <x:c r="A40" s="18" t="str">
        <x:v>其他T0合计</x:v>
      </x:c>
      <x:c r="B40" s="17" t="n">
        <x:v>-1</x:v>
      </x:c>
      <x:c r="C40" s="21" t="n">
        <x:v>78773</x:v>
      </x:c>
      <x:c r="D40" s="21" t="n">
        <x:v>29759</x:v>
      </x:c>
      <x:c r="E40" s="23" t="n">
        <x:f>IF(C40&gt;0,D40/C40,"")</x:f>
        <x:v>0.37778172724156756</x:v>
      </x:c>
      <x:c r="F40" s="21" t="n">
        <x:v>6898</x:v>
      </x:c>
      <x:c r="G40" s="23" t="n">
        <x:f>IF(C40&gt;0,F40/C40,"")</x:f>
        <x:v>0.0875680753557691</x:v>
      </x:c>
      <x:c r="H40" s="21" t="n">
        <x:v>1774</x:v>
      </x:c>
      <x:c r="I40" s="23" t="n">
        <x:f>IF(C40&gt;0,H40/C40,"")</x:f>
        <x:v>0.022520406738349433</x:v>
      </x:c>
      <x:c r="J40" s="21" t="n">
        <x:v>2156</x:v>
      </x:c>
      <x:c r="K40" s="23" t="n">
        <x:f>IF(C40&gt;0,J40/C40,"")</x:f>
        <x:v>0.027369784063067296</x:v>
      </x:c>
      <x:c r="L40" s="25" t="n">
        <x:v>3.421511660086578</x:v>
      </x:c>
      <x:c r="M40" s="25" t="n">
        <x:v>24</x:v>
      </x:c>
    </x:row>
    <x:row r="41" ht="25" customHeight="1">
      <x:c r="A41" s="19" t="str">
        <x:v>提额≥3000</x:v>
      </x:c>
      <x:c r="B41" s="20" t="n">
        <x:v>0</x:v>
      </x:c>
      <x:c r="C41" s="22" t="n">
        <x:v>12309</x:v>
      </x:c>
      <x:c r="D41" s="22" t="n">
        <x:v>11241</x:v>
      </x:c>
      <x:c r="E41" s="24" t="n">
        <x:f>IF(C41&gt;0,D41/C41,"")</x:f>
        <x:v>0.9132342188642457</x:v>
      </x:c>
      <x:c r="F41" s="22" t="n">
        <x:v>10353</x:v>
      </x:c>
      <x:c r="G41" s="24" t="n">
        <x:f>IF(C41&gt;0,F41/C41,"")</x:f>
        <x:v>0.8410918839873264</x:v>
      </x:c>
      <x:c r="H41" s="22" t="n">
        <x:v>5495</x:v>
      </x:c>
      <x:c r="I41" s="24" t="n">
        <x:f>IF(C41&gt;0,H41/C41,"")</x:f>
        <x:v>0.44642131773499066</x:v>
      </x:c>
      <x:c r="J41" s="22" t="n">
        <x:v>5788</x:v>
      </x:c>
      <x:c r="K41" s="24" t="n">
        <x:f>IF(C41&gt;0,J41/C41,"")</x:f>
        <x:v>0.47022503858964987</x:v>
      </x:c>
      <x:c r="L41" s="26" t="n">
        <x:v>65.31876821837679</x:v>
      </x:c>
      <x:c r="M41" s="26" t="n">
        <x:v>9.334335626145279</x:v>
      </x:c>
    </x:row>
    <x:row r="42" ht="25" customHeight="1">
      <x:c r="A42" s="18" t="str">
        <x:v>提额0至3000</x:v>
      </x:c>
      <x:c r="B42" s="17" t="n">
        <x:v>0</x:v>
      </x:c>
      <x:c r="C42" s="21" t="n">
        <x:v>39532</x:v>
      </x:c>
      <x:c r="D42" s="21" t="n">
        <x:v>36563</x:v>
      </x:c>
      <x:c r="E42" s="23" t="n">
        <x:f>IF(C42&gt;0,D42/C42,"")</x:f>
        <x:v>0.9248962865526662</x:v>
      </x:c>
      <x:c r="F42" s="21" t="n">
        <x:v>34048</x:v>
      </x:c>
      <x:c r="G42" s="23" t="n">
        <x:f>IF(C42&gt;0,F42/C42,"")</x:f>
        <x:v>0.8612769402003441</x:v>
      </x:c>
      <x:c r="H42" s="21" t="n">
        <x:v>13269</x:v>
      </x:c>
      <x:c r="I42" s="23" t="n">
        <x:f>IF(C42&gt;0,H42/C42,"")</x:f>
        <x:v>0.33565212992006477</x:v>
      </x:c>
      <x:c r="J42" s="21" t="n">
        <x:v>16167</x:v>
      </x:c>
      <x:c r="K42" s="23" t="n">
        <x:f>IF(C42&gt;0,J42/C42,"")</x:f>
        <x:v>0.40895983001113023</x:v>
      </x:c>
      <x:c r="L42" s="25" t="n">
        <x:v>55.21985874734392</x:v>
      </x:c>
      <x:c r="M42" s="25" t="n">
        <x:v>9.43110635406478</x:v>
      </x:c>
    </x:row>
    <x:row r="43" ht="25" customHeight="1">
      <x:c r="A43" s="19" t="str">
        <x:v>额度不变</x:v>
      </x:c>
      <x:c r="B43" s="20" t="n">
        <x:v>0</x:v>
      </x:c>
      <x:c r="C43" s="22" t="n">
        <x:v>9358</x:v>
      </x:c>
      <x:c r="D43" s="22" t="n">
        <x:v>8741</x:v>
      </x:c>
      <x:c r="E43" s="24" t="n">
        <x:f>IF(C43&gt;0,D43/C43,"")</x:f>
        <x:v>0.9340671083564864</x:v>
      </x:c>
      <x:c r="F43" s="22" t="n">
        <x:v>8202</x:v>
      </x:c>
      <x:c r="G43" s="24" t="n">
        <x:f>IF(C43&gt;0,F43/C43,"")</x:f>
        <x:v>0.876469331053644</x:v>
      </x:c>
      <x:c r="H43" s="22" t="n">
        <x:v>2669</x:v>
      </x:c>
      <x:c r="I43" s="24" t="n">
        <x:f>IF(C43&gt;0,H43/C43,"")</x:f>
        <x:v>0.2852105150673221</x:v>
      </x:c>
      <x:c r="J43" s="22" t="n">
        <x:v>2330</x:v>
      </x:c>
      <x:c r="K43" s="24" t="n">
        <x:f>IF(C43&gt;0,J43/C43,"")</x:f>
        <x:v>0.24898482581748238</x:v>
      </x:c>
      <x:c r="L43" s="26" t="n">
        <x:v>42.78090745885873</x:v>
      </x:c>
      <x:c r="M43" s="26" t="n">
        <x:v>9.357163834865</x:v>
      </x:c>
    </x:row>
    <x:row r="44" ht="25" customHeight="1">
      <x:c r="A44" s="18" t="str">
        <x:v>额度降低</x:v>
      </x:c>
      <x:c r="B44" s="17" t="n">
        <x:v>0</x:v>
      </x:c>
      <x:c r="C44" s="21" t="n">
        <x:v>29883</x:v>
      </x:c>
      <x:c r="D44" s="21" t="n">
        <x:v>27922</x:v>
      </x:c>
      <x:c r="E44" s="23" t="n">
        <x:f>IF(C44&gt;0,D44/C44,"")</x:f>
        <x:v>0.9343774052136666</x:v>
      </x:c>
      <x:c r="F44" s="21" t="n">
        <x:v>26228</x:v>
      </x:c>
      <x:c r="G44" s="23" t="n">
        <x:f>IF(C44&gt;0,F44/C44,"")</x:f>
        <x:v>0.8776896563263394</x:v>
      </x:c>
      <x:c r="H44" s="21" t="n">
        <x:v>8752</x:v>
      </x:c>
      <x:c r="I44" s="23" t="n">
        <x:f>IF(C44&gt;0,H44/C44,"")</x:f>
        <x:v>0.292875547970418</x:v>
      </x:c>
      <x:c r="J44" s="21" t="n">
        <x:v>9810</x:v>
      </x:c>
      <x:c r="K44" s="23" t="n">
        <x:f>IF(C44&gt;0,J44/C44,"")</x:f>
        <x:v>0.3282802931432587</x:v>
      </x:c>
      <x:c r="L44" s="25" t="n">
        <x:v>48.8145817688987</x:v>
      </x:c>
      <x:c r="M44" s="25" t="n">
        <x:v>8.933746184192424</x:v>
      </x:c>
    </x:row>
    <x:row r="45" ht="25" customHeight="1">
      <x:c r="A45" s="19" t="str">
        <x:v>其他T0合计</x:v>
      </x:c>
      <x:c r="B45" s="20" t="n">
        <x:v>0</x:v>
      </x:c>
      <x:c r="C45" s="22" t="n">
        <x:v>78773</x:v>
      </x:c>
      <x:c r="D45" s="22" t="n">
        <x:v>73226</x:v>
      </x:c>
      <x:c r="E45" s="24" t="n">
        <x:f>IF(C45&gt;0,D45/C45,"")</x:f>
        <x:v>0.9295824711512828</x:v>
      </x:c>
      <x:c r="F45" s="22" t="n">
        <x:v>68478</x:v>
      </x:c>
      <x:c r="G45" s="24" t="n">
        <x:f>IF(C45&gt;0,F45/C45,"")</x:f>
        <x:v>0.8693080116283498</x:v>
      </x:c>
      <x:c r="H45" s="22" t="n">
        <x:v>24690</x:v>
      </x:c>
      <x:c r="I45" s="24" t="n">
        <x:f>IF(C45&gt;0,H45/C45,"")</x:f>
        <x:v>0.31343226740126695</x:v>
      </x:c>
      <x:c r="J45" s="22" t="n">
        <x:v>28307</x:v>
      </x:c>
      <x:c r="K45" s="24" t="n">
        <x:f>IF(C45&gt;0,J45/C45,"")</x:f>
        <x:v>0.35934901552562426</x:v>
      </x:c>
      <x:c r="L45" s="26" t="n">
        <x:v>51.31226860726391</x:v>
      </x:c>
      <x:c r="M45" s="26" t="n">
        <x:v>9.233645700656036</x:v>
      </x:c>
    </x:row>
    <x:row r="46" ht="25" customHeight="1">
      <x:c r="A46" s="18" t="str">
        <x:v>提额≥3000</x:v>
      </x:c>
      <x:c r="B46" s="17" t="n">
        <x:v>1</x:v>
      </x:c>
      <x:c r="C46" s="21" t="n">
        <x:v>12065</x:v>
      </x:c>
      <x:c r="D46" s="21" t="n">
        <x:v>4727</x:v>
      </x:c>
      <x:c r="E46" s="23" t="n">
        <x:f>IF(C46&gt;0,D46/C46,"")</x:f>
        <x:v>0.3917944467467882</x:v>
      </x:c>
      <x:c r="F46" s="21" t="n">
        <x:v>3991</x:v>
      </x:c>
      <x:c r="G46" s="23" t="n">
        <x:f>IF(C46&gt;0,F46/C46,"")</x:f>
        <x:v>0.3307915457936179</x:v>
      </x:c>
      <x:c r="H46" s="21" t="n">
        <x:v>2212</x:v>
      </x:c>
      <x:c r="I46" s="23" t="n">
        <x:f>IF(C46&gt;0,H46/C46,"")</x:f>
        <x:v>0.18334024036469126</x:v>
      </x:c>
      <x:c r="J46" s="21" t="n">
        <x:v>2067</x:v>
      </x:c>
      <x:c r="K46" s="23" t="n">
        <x:f>IF(C46&gt;0,J46/C46,"")</x:f>
        <x:v>0.17132200580190635</x:v>
      </x:c>
      <x:c r="L46" s="25" t="n">
        <x:v>23.13858483215914</x:v>
      </x:c>
      <x:c r="M46" s="25" t="n">
        <x:v>23.99731712483308</x:v>
      </x:c>
    </x:row>
    <x:row r="47" ht="25" customHeight="1">
      <x:c r="A47" s="19" t="str">
        <x:v>提额0至3000</x:v>
      </x:c>
      <x:c r="B47" s="20" t="n">
        <x:v>1</x:v>
      </x:c>
      <x:c r="C47" s="22" t="n">
        <x:v>38760</x:v>
      </x:c>
      <x:c r="D47" s="22" t="n">
        <x:v>14696</x:v>
      </x:c>
      <x:c r="E47" s="24" t="n">
        <x:f>IF(C47&gt;0,D47/C47,"")</x:f>
        <x:v>0.37915376676986584</x:v>
      </x:c>
      <x:c r="F47" s="22" t="n">
        <x:v>10655</x:v>
      </x:c>
      <x:c r="G47" s="24" t="n">
        <x:f>IF(C47&gt;0,F47/C47,"")</x:f>
        <x:v>0.27489680082559337</x:v>
      </x:c>
      <x:c r="H47" s="22" t="n">
        <x:v>4404</x:v>
      </x:c>
      <x:c r="I47" s="24" t="n">
        <x:f>IF(C47&gt;0,H47/C47,"")</x:f>
        <x:v>0.11362229102167183</x:v>
      </x:c>
      <x:c r="J47" s="22" t="n">
        <x:v>4948</x:v>
      </x:c>
      <x:c r="K47" s="24" t="n">
        <x:f>IF(C47&gt;0,J47/C47,"")</x:f>
        <x:v>0.12765737874097008</x:v>
      </x:c>
      <x:c r="L47" s="26" t="n">
        <x:v>16.796456475748194</x:v>
      </x:c>
      <x:c r="M47" s="26" t="n">
        <x:v>23.987314033654396</x:v>
      </x:c>
    </x:row>
    <x:row r="48" ht="25" customHeight="1">
      <x:c r="A48" s="18" t="str">
        <x:v>额度不变</x:v>
      </x:c>
      <x:c r="B48" s="17" t="n">
        <x:v>1</x:v>
      </x:c>
      <x:c r="C48" s="21" t="n">
        <x:v>9106</x:v>
      </x:c>
      <x:c r="D48" s="21" t="n">
        <x:v>3153</x:v>
      </x:c>
      <x:c r="E48" s="23" t="n">
        <x:f>IF(C48&gt;0,D48/C48,"")</x:f>
        <x:v>0.34625521634087414</x:v>
      </x:c>
      <x:c r="F48" s="21" t="n">
        <x:v>2112</x:v>
      </x:c>
      <x:c r="G48" s="23" t="n">
        <x:f>IF(C48&gt;0,F48/C48,"")</x:f>
        <x:v>0.2319349879200527</x:v>
      </x:c>
      <x:c r="H48" s="21" t="n">
        <x:v>491</x:v>
      </x:c>
      <x:c r="I48" s="23" t="n">
        <x:f>IF(C48&gt;0,H48/C48,"")</x:f>
        <x:v>0.05392049198330771</x:v>
      </x:c>
      <x:c r="J48" s="21" t="n">
        <x:v>560</x:v>
      </x:c>
      <x:c r="K48" s="23" t="n">
        <x:f>IF(C48&gt;0,J48/C48,"")</x:f>
        <x:v>0.06149791346365034</x:v>
      </x:c>
      <x:c r="L48" s="25" t="n">
        <x:v>10.404076542938721</x:v>
      </x:c>
      <x:c r="M48" s="25" t="n">
        <x:v>23.974126095126532</x:v>
      </x:c>
    </x:row>
    <x:row r="49" ht="25" customHeight="1">
      <x:c r="A49" s="19" t="str">
        <x:v>额度降低</x:v>
      </x:c>
      <x:c r="B49" s="20" t="n">
        <x:v>1</x:v>
      </x:c>
      <x:c r="C49" s="22" t="n">
        <x:v>28889</x:v>
      </x:c>
      <x:c r="D49" s="22" t="n">
        <x:v>11521</x:v>
      </x:c>
      <x:c r="E49" s="24" t="n">
        <x:f>IF(C49&gt;0,D49/C49,"")</x:f>
        <x:v>0.39880231229879887</x:v>
      </x:c>
      <x:c r="F49" s="22" t="n">
        <x:v>7916</x:v>
      </x:c>
      <x:c r="G49" s="24" t="n">
        <x:f>IF(C49&gt;0,F49/C49,"")</x:f>
        <x:v>0.27401433071411263</x:v>
      </x:c>
      <x:c r="H49" s="22" t="n">
        <x:v>2209</x:v>
      </x:c>
      <x:c r="I49" s="24" t="n">
        <x:f>IF(C49&gt;0,H49/C49,"")</x:f>
        <x:v>0.07646509051888262</x:v>
      </x:c>
      <x:c r="J49" s="22" t="n">
        <x:v>2879</x:v>
      </x:c>
      <x:c r="K49" s="24" t="n">
        <x:f>IF(C49&gt;0,J49/C49,"")</x:f>
        <x:v>0.09965730901034996</x:v>
      </x:c>
      <x:c r="L49" s="26" t="n">
        <x:v>14.055355429402193</x:v>
      </x:c>
      <x:c r="M49" s="26" t="n">
        <x:v>23.973933994484636</x:v>
      </x:c>
    </x:row>
    <x:row r="50" ht="25" customHeight="1">
      <x:c r="A50" s="18" t="str">
        <x:v>其他T0合计</x:v>
      </x:c>
      <x:c r="B50" s="17" t="n">
        <x:v>1</x:v>
      </x:c>
      <x:c r="C50" s="21" t="n">
        <x:v>76755</x:v>
      </x:c>
      <x:c r="D50" s="21" t="n">
        <x:v>29370</x:v>
      </x:c>
      <x:c r="E50" s="23" t="n">
        <x:f>IF(C50&gt;0,D50/C50,"")</x:f>
        <x:v>0.38264608168848935</x:v>
      </x:c>
      <x:c r="F50" s="21" t="n">
        <x:v>20683</x:v>
      </x:c>
      <x:c r="G50" s="23" t="n">
        <x:f>IF(C50&gt;0,F50/C50,"")</x:f>
        <x:v>0.2694677871148459</x:v>
      </x:c>
      <x:c r="H50" s="21" t="n">
        <x:v>7104</x:v>
      </x:c>
      <x:c r="I50" s="23" t="n">
        <x:f>IF(C50&gt;0,H50/C50,"")</x:f>
        <x:v>0.09255423099472347</x:v>
      </x:c>
      <x:c r="J50" s="21" t="n">
        <x:v>8387</x:v>
      </x:c>
      <x:c r="K50" s="23" t="n">
        <x:f>IF(C50&gt;0,J50/C50,"")</x:f>
        <x:v>0.10926975441339326</x:v>
      </x:c>
      <x:c r="L50" s="25" t="n">
        <x:v>15.006388339521855</x:v>
      </x:c>
      <x:c r="M50" s="25" t="n">
        <x:v>23.980713482292142</x:v>
      </x:c>
    </x:row>
    <x:row r="51" ht="25" customHeight="1">
      <x:c r="A51" s="19" t="str">
        <x:v>提额≥3000</x:v>
      </x:c>
      <x:c r="B51" s="20" t="n">
        <x:v>2</x:v>
      </x:c>
      <x:c r="C51" s="22" t="n">
        <x:v>12060</x:v>
      </x:c>
      <x:c r="D51" s="22" t="n">
        <x:v>4057</x:v>
      </x:c>
      <x:c r="E51" s="24" t="n">
        <x:f>IF(C51&gt;0,D51/C51,"")</x:f>
        <x:v>0.33640132669983414</x:v>
      </x:c>
      <x:c r="F51" s="22" t="n">
        <x:v>2998</x:v>
      </x:c>
      <x:c r="G51" s="24" t="n">
        <x:f>IF(C51&gt;0,F51/C51,"")</x:f>
        <x:v>0.24859038142620232</x:v>
      </x:c>
      <x:c r="H51" s="22" t="n">
        <x:v>1523</x:v>
      </x:c>
      <x:c r="I51" s="24" t="n">
        <x:f>IF(C51&gt;0,H51/C51,"")</x:f>
        <x:v>0.12628524046434494</x:v>
      </x:c>
      <x:c r="J51" s="22" t="n">
        <x:v>1381</x:v>
      </x:c>
      <x:c r="K51" s="24" t="n">
        <x:f>IF(C51&gt;0,J51/C51,"")</x:f>
        <x:v>0.11451077943615257</x:v>
      </x:c>
      <x:c r="L51" s="26" t="n">
        <x:v>13.849651990049752</x:v>
      </x:c>
      <x:c r="M51" s="26" t="n">
        <x:v>23.99974553160125</x:v>
      </x:c>
    </x:row>
    <x:row r="52" ht="25" customHeight="1">
      <x:c r="A52" s="18" t="str">
        <x:v>提额0至3000</x:v>
      </x:c>
      <x:c r="B52" s="17" t="n">
        <x:v>2</x:v>
      </x:c>
      <x:c r="C52" s="21" t="n">
        <x:v>38712</x:v>
      </x:c>
      <x:c r="D52" s="21" t="n">
        <x:v>12787</x:v>
      </x:c>
      <x:c r="E52" s="23" t="n">
        <x:f>IF(C52&gt;0,D52/C52,"")</x:f>
        <x:v>0.330311014672453</x:v>
      </x:c>
      <x:c r="F52" s="21" t="n">
        <x:v>7328</x:v>
      </x:c>
      <x:c r="G52" s="23" t="n">
        <x:f>IF(C52&gt;0,F52/C52,"")</x:f>
        <x:v>0.1892953089481298</x:v>
      </x:c>
      <x:c r="H52" s="21" t="n">
        <x:v>2884</x:v>
      </x:c>
      <x:c r="I52" s="23" t="n">
        <x:f>IF(C52&gt;0,H52/C52,"")</x:f>
        <x:v>0.07449886340152924</x:v>
      </x:c>
      <x:c r="J52" s="21" t="n">
        <x:v>3237</x:v>
      </x:c>
      <x:c r="K52" s="23" t="n">
        <x:f>IF(C52&gt;0,J52/C52,"")</x:f>
        <x:v>0.08361748295102293</x:v>
      </x:c>
      <x:c r="L52" s="25" t="n">
        <x:v>10.376384635255219</x:v>
      </x:c>
      <x:c r="M52" s="25" t="n">
        <x:v>23.98207251986177</x:v>
      </x:c>
    </x:row>
    <x:row r="53" ht="25" customHeight="1">
      <x:c r="A53" s="19" t="str">
        <x:v>额度不变</x:v>
      </x:c>
      <x:c r="B53" s="20" t="n">
        <x:v>2</x:v>
      </x:c>
      <x:c r="C53" s="22" t="n">
        <x:v>9085</x:v>
      </x:c>
      <x:c r="D53" s="22" t="n">
        <x:v>2572</x:v>
      </x:c>
      <x:c r="E53" s="24" t="n">
        <x:f>IF(C53&gt;0,D53/C53,"")</x:f>
        <x:v>0.28310401761144743</x:v>
      </x:c>
      <x:c r="F53" s="22" t="n">
        <x:v>1264</x:v>
      </x:c>
      <x:c r="G53" s="24" t="n">
        <x:f>IF(C53&gt;0,F53/C53,"")</x:f>
        <x:v>0.1391304347826087</x:v>
      </x:c>
      <x:c r="H53" s="22" t="n">
        <x:v>266</x:v>
      </x:c>
      <x:c r="I53" s="24" t="n">
        <x:f>IF(C53&gt;0,H53/C53,"")</x:f>
        <x:v>0.029279031370390753</x:v>
      </x:c>
      <x:c r="J53" s="22" t="n">
        <x:v>328</x:v>
      </x:c>
      <x:c r="K53" s="24" t="n">
        <x:f>IF(C53&gt;0,J53/C53,"")</x:f>
        <x:v>0.03610346725371492</x:v>
      </x:c>
      <x:c r="L53" s="26" t="n">
        <x:v>5.6179867914144195</x:v>
      </x:c>
      <x:c r="M53" s="26" t="n">
        <x:v>23.958414602825172</x:v>
      </x:c>
    </x:row>
    <x:row r="54" ht="25" customHeight="1">
      <x:c r="A54" s="18" t="str">
        <x:v>额度降低</x:v>
      </x:c>
      <x:c r="B54" s="17" t="n">
        <x:v>2</x:v>
      </x:c>
      <x:c r="C54" s="21" t="n">
        <x:v>28818</x:v>
      </x:c>
      <x:c r="D54" s="21" t="n">
        <x:v>9157</x:v>
      </x:c>
      <x:c r="E54" s="23" t="n">
        <x:f>IF(C54&gt;0,D54/C54,"")</x:f>
        <x:v>0.31775279339301826</x:v>
      </x:c>
      <x:c r="F54" s="21" t="n">
        <x:v>4918</x:v>
      </x:c>
      <x:c r="G54" s="23" t="n">
        <x:f>IF(C54&gt;0,F54/C54,"")</x:f>
        <x:v>0.17065722812131306</x:v>
      </x:c>
      <x:c r="H54" s="21" t="n">
        <x:v>1194</x:v>
      </x:c>
      <x:c r="I54" s="23" t="n">
        <x:f>IF(C54&gt;0,H54/C54,"")</x:f>
        <x:v>0.04143243805954612</x:v>
      </x:c>
      <x:c r="J54" s="21" t="n">
        <x:v>1631</x:v>
      </x:c>
      <x:c r="K54" s="23" t="n">
        <x:f>IF(C54&gt;0,J54/C54,"")</x:f>
        <x:v>0.056596571587202445</x:v>
      </x:c>
      <x:c r="L54" s="25" t="n">
        <x:v>7.727242348532167</x:v>
      </x:c>
      <x:c r="M54" s="25" t="n">
        <x:v>23.96411746902013</x:v>
      </x:c>
    </x:row>
    <x:row r="55" ht="25" customHeight="1">
      <x:c r="A55" s="19" t="str">
        <x:v>其他T0合计</x:v>
      </x:c>
      <x:c r="B55" s="20" t="n">
        <x:v>2</x:v>
      </x:c>
      <x:c r="C55" s="22" t="n">
        <x:v>76615</x:v>
      </x:c>
      <x:c r="D55" s="22" t="n">
        <x:v>24516</x:v>
      </x:c>
      <x:c r="E55" s="24" t="n">
        <x:f>IF(C55&gt;0,D55/C55,"")</x:f>
        <x:v>0.31998955818051295</x:v>
      </x:c>
      <x:c r="F55" s="22" t="n">
        <x:v>13510</x:v>
      </x:c>
      <x:c r="G55" s="24" t="n">
        <x:f>IF(C55&gt;0,F55/C55,"")</x:f>
        <x:v>0.17633622658748288</x:v>
      </x:c>
      <x:c r="H55" s="22" t="n">
        <x:v>4344</x:v>
      </x:c>
      <x:c r="I55" s="24" t="n">
        <x:f>IF(C55&gt;0,H55/C55,"")</x:f>
        <x:v>0.0566990798146577</x:v>
      </x:c>
      <x:c r="J55" s="22" t="n">
        <x:v>5196</x:v>
      </x:c>
      <x:c r="K55" s="24" t="n">
        <x:f>IF(C55&gt;0,J55/C55,"")</x:f>
        <x:v>0.06781961756836129</x:v>
      </x:c>
      <x:c r="L55" s="26" t="n">
        <x:v>8.815684683156041</x:v>
      </x:c>
      <x:c r="M55" s="26" t="n">
        <x:v>23.97251354536028</x:v>
      </x:c>
    </x:row>
    <x:row r="56" ht="25" customHeight="1">
      <x:c r="A56" s="18" t="str">
        <x:v>提额≥3000</x:v>
      </x:c>
      <x:c r="B56" s="17" t="n">
        <x:v>3</x:v>
      </x:c>
      <x:c r="C56" s="21" t="n">
        <x:v>12059</x:v>
      </x:c>
      <x:c r="D56" s="21" t="n">
        <x:v>3425</x:v>
      </x:c>
      <x:c r="E56" s="23" t="n">
        <x:f>IF(C56&gt;0,D56/C56,"")</x:f>
        <x:v>0.28402023385023634</x:v>
      </x:c>
      <x:c r="F56" s="21" t="n">
        <x:v>2335</x:v>
      </x:c>
      <x:c r="G56" s="23" t="n">
        <x:f>IF(C56&gt;0,F56/C56,"")</x:f>
        <x:v>0.1936313127124969</x:v>
      </x:c>
      <x:c r="H56" s="21" t="n">
        <x:v>1239</x:v>
      </x:c>
      <x:c r="I56" s="23" t="n">
        <x:f>IF(C56&gt;0,H56/C56,"")</x:f>
        <x:v>0.10274483788042126</x:v>
      </x:c>
      <x:c r="J56" s="21" t="n">
        <x:v>1119</x:v>
      </x:c>
      <x:c r="K56" s="23" t="n">
        <x:f>IF(C56&gt;0,J56/C56,"")</x:f>
        <x:v>0.09279376399369765</x:v>
      </x:c>
      <x:c r="L56" s="25" t="n">
        <x:v>9.916469856538685</x:v>
      </x:c>
      <x:c r="M56" s="25" t="n">
        <x:v>23.995806382508228</x:v>
      </x:c>
    </x:row>
    <x:row r="57" ht="25" customHeight="1">
      <x:c r="A57" s="19" t="str">
        <x:v>提额0至3000</x:v>
      </x:c>
      <x:c r="B57" s="20" t="n">
        <x:v>3</x:v>
      </x:c>
      <x:c r="C57" s="22" t="n">
        <x:v>38643</x:v>
      </x:c>
      <x:c r="D57" s="22" t="n">
        <x:v>10843</x:v>
      </x:c>
      <x:c r="E57" s="24" t="n">
        <x:f>IF(C57&gt;0,D57/C57,"")</x:f>
        <x:v>0.28059415676836685</x:v>
      </x:c>
      <x:c r="F57" s="22" t="n">
        <x:v>5457</x:v>
      </x:c>
      <x:c r="G57" s="24" t="n">
        <x:f>IF(C57&gt;0,F57/C57,"")</x:f>
        <x:v>0.1412157441192454</x:v>
      </x:c>
      <x:c r="H57" s="22" t="n">
        <x:v>2130</x:v>
      </x:c>
      <x:c r="I57" s="24" t="n">
        <x:f>IF(C57&gt;0,H57/C57,"")</x:f>
        <x:v>0.055119944103718656</x:v>
      </x:c>
      <x:c r="J57" s="22" t="n">
        <x:v>2373</x:v>
      </x:c>
      <x:c r="K57" s="24" t="n">
        <x:f>IF(C57&gt;0,J57/C57,"")</x:f>
        <x:v>0.061408275754987966</x:v>
      </x:c>
      <x:c r="L57" s="26" t="n">
        <x:v>7.442087389695416</x:v>
      </x:c>
      <x:c r="M57" s="26" t="n">
        <x:v>23.976146592598344</x:v>
      </x:c>
    </x:row>
    <x:row r="58" ht="25" customHeight="1">
      <x:c r="A58" s="18" t="str">
        <x:v>额度不变</x:v>
      </x:c>
      <x:c r="B58" s="17" t="n">
        <x:v>3</x:v>
      </x:c>
      <x:c r="C58" s="21" t="n">
        <x:v>9047</x:v>
      </x:c>
      <x:c r="D58" s="21" t="n">
        <x:v>2127</x:v>
      </x:c>
      <x:c r="E58" s="23" t="n">
        <x:f>IF(C58&gt;0,D58/C58,"")</x:f>
        <x:v>0.2351055598540953</x:v>
      </x:c>
      <x:c r="F58" s="21" t="n">
        <x:v>927</x:v>
      </x:c>
      <x:c r="G58" s="23" t="n">
        <x:f>IF(C58&gt;0,F58/C58,"")</x:f>
        <x:v>0.10246490549353376</x:v>
      </x:c>
      <x:c r="H58" s="21" t="n">
        <x:v>205</x:v>
      </x:c>
      <x:c r="I58" s="23" t="n">
        <x:f>IF(C58&gt;0,H58/C58,"")</x:f>
        <x:v>0.022659445119929258</x:v>
      </x:c>
      <x:c r="J58" s="21" t="n">
        <x:v>208</x:v>
      </x:c>
      <x:c r="K58" s="23" t="n">
        <x:f>IF(C58&gt;0,J58/C58,"")</x:f>
        <x:v>0.022991046755830663</x:v>
      </x:c>
      <x:c r="L58" s="25" t="n">
        <x:v>3.8179314689952473</x:v>
      </x:c>
      <x:c r="M58" s="25" t="n">
        <x:v>23.958207140488557</x:v>
      </x:c>
    </x:row>
    <x:row r="59" ht="25" customHeight="1">
      <x:c r="A59" s="19" t="str">
        <x:v>额度降低</x:v>
      </x:c>
      <x:c r="B59" s="20" t="n">
        <x:v>3</x:v>
      </x:c>
      <x:c r="C59" s="22" t="n">
        <x:v>28720</x:v>
      </x:c>
      <x:c r="D59" s="22" t="n">
        <x:v>7567</x:v>
      </x:c>
      <x:c r="E59" s="24" t="n">
        <x:f>IF(C59&gt;0,D59/C59,"")</x:f>
        <x:v>0.263474930362117</x:v>
      </x:c>
      <x:c r="F59" s="22" t="n">
        <x:v>3541</x:v>
      </x:c>
      <x:c r="G59" s="24" t="n">
        <x:f>IF(C59&gt;0,F59/C59,"")</x:f>
        <x:v>0.12329387186629527</x:v>
      </x:c>
      <x:c r="H59" s="22" t="n">
        <x:v>843</x:v>
      </x:c>
      <x:c r="I59" s="24" t="n">
        <x:f>IF(C59&gt;0,H59/C59,"")</x:f>
        <x:v>0.029352367688022286</x:v>
      </x:c>
      <x:c r="J59" s="22" t="n">
        <x:v>1200</x:v>
      </x:c>
      <x:c r="K59" s="24" t="n">
        <x:f>IF(C59&gt;0,J59/C59,"")</x:f>
        <x:v>0.04178272980501393</x:v>
      </x:c>
      <x:c r="L59" s="26" t="n">
        <x:v>5.3265895543175485</x:v>
      </x:c>
      <x:c r="M59" s="26" t="n">
        <x:v>23.95579966535129</x:v>
      </x:c>
    </x:row>
    <x:row r="60" ht="25" customHeight="1">
      <x:c r="A60" s="18" t="str">
        <x:v>其他T0合计</x:v>
      </x:c>
      <x:c r="B60" s="17" t="n">
        <x:v>3</x:v>
      </x:c>
      <x:c r="C60" s="21" t="n">
        <x:v>76410</x:v>
      </x:c>
      <x:c r="D60" s="21" t="n">
        <x:v>20537</x:v>
      </x:c>
      <x:c r="E60" s="23" t="n">
        <x:f>IF(C60&gt;0,D60/C60,"")</x:f>
        <x:v>0.26877372071718364</x:v>
      </x:c>
      <x:c r="F60" s="21" t="n">
        <x:v>9925</x:v>
      </x:c>
      <x:c r="G60" s="23" t="n">
        <x:f>IF(C60&gt;0,F60/C60,"")</x:f>
        <x:v>0.12989137547441434</x:v>
      </x:c>
      <x:c r="H60" s="21" t="n">
        <x:v>3178</x:v>
      </x:c>
      <x:c r="I60" s="23" t="n">
        <x:f>IF(C60&gt;0,H60/C60,"")</x:f>
        <x:v>0.04159141473629106</x:v>
      </x:c>
      <x:c r="J60" s="21" t="n">
        <x:v>3781</x:v>
      </x:c>
      <x:c r="K60" s="23" t="n">
        <x:f>IF(C60&gt;0,J60/C60,"")</x:f>
        <x:v>0.049483051956550186</x:v>
      </x:c>
      <x:c r="L60" s="25" t="n">
        <x:v>6.217838777646904</x:v>
      </x:c>
      <x:c r="M60" s="25" t="n">
        <x:v>23.966374809143655</x:v>
      </x:c>
    </x:row>
    <x:row r="61" ht="25" customHeight="1">
      <x:c r="A61" s="19" t="str">
        <x:v>提额≥3000</x:v>
      </x:c>
      <x:c r="B61" s="20" t="n">
        <x:v>4</x:v>
      </x:c>
      <x:c r="C61" s="22" t="n">
        <x:v>12055</x:v>
      </x:c>
      <x:c r="D61" s="22" t="n">
        <x:v>3169</x:v>
      </x:c>
      <x:c r="E61" s="24" t="n">
        <x:f>IF(C61&gt;0,D61/C61,"")</x:f>
        <x:v>0.26287847366238076</x:v>
      </x:c>
      <x:c r="F61" s="22" t="n">
        <x:v>1941</x:v>
      </x:c>
      <x:c r="G61" s="24" t="n">
        <x:f>IF(C61&gt;0,F61/C61,"")</x:f>
        <x:v>0.1610120282040647</x:v>
      </x:c>
      <x:c r="H61" s="22" t="n">
        <x:v>1033</x:v>
      </x:c>
      <x:c r="I61" s="24" t="n">
        <x:f>IF(C61&gt;0,H61/C61,"")</x:f>
        <x:v>0.08569058481957693</x:v>
      </x:c>
      <x:c r="J61" s="22" t="n">
        <x:v>886</x:v>
      </x:c>
      <x:c r="K61" s="24" t="n">
        <x:f>IF(C61&gt;0,J61/C61,"")</x:f>
        <x:v>0.07349647449191207</x:v>
      </x:c>
      <x:c r="L61" s="26" t="n">
        <x:v>7.749565574450435</x:v>
      </x:c>
      <x:c r="M61" s="26" t="n">
        <x:v>23.984011659523482</x:v>
      </x:c>
    </x:row>
    <x:row r="62" ht="25" customHeight="1">
      <x:c r="A62" s="18" t="str">
        <x:v>提额0至3000</x:v>
      </x:c>
      <x:c r="B62" s="17" t="n">
        <x:v>4</x:v>
      </x:c>
      <x:c r="C62" s="21" t="n">
        <x:v>38546</x:v>
      </x:c>
      <x:c r="D62" s="21" t="n">
        <x:v>10087</x:v>
      </x:c>
      <x:c r="E62" s="23" t="n">
        <x:f>IF(C62&gt;0,D62/C62,"")</x:f>
        <x:v>0.26168733461318944</x:v>
      </x:c>
      <x:c r="F62" s="21" t="n">
        <x:v>4303</x:v>
      </x:c>
      <x:c r="G62" s="23" t="n">
        <x:f>IF(C62&gt;0,F62/C62,"")</x:f>
        <x:v>0.11163285425206247</x:v>
      </x:c>
      <x:c r="H62" s="21" t="n">
        <x:v>1709</x:v>
      </x:c>
      <x:c r="I62" s="23" t="n">
        <x:f>IF(C62&gt;0,H62/C62,"")</x:f>
        <x:v>0.044336636745706426</x:v>
      </x:c>
      <x:c r="J62" s="21" t="n">
        <x:v>1905</x:v>
      </x:c>
      <x:c r="K62" s="23" t="n">
        <x:f>IF(C62&gt;0,J62/C62,"")</x:f>
        <x:v>0.04942147045088985</x:v>
      </x:c>
      <x:c r="L62" s="25" t="n">
        <x:v>5.6268997301924975</x:v>
      </x:c>
      <x:c r="M62" s="25" t="n">
        <x:v>23.90451819471108</x:v>
      </x:c>
    </x:row>
    <x:row r="63" ht="25" customHeight="1">
      <x:c r="A63" s="19" t="str">
        <x:v>额度不变</x:v>
      </x:c>
      <x:c r="B63" s="20" t="n">
        <x:v>4</x:v>
      </x:c>
      <x:c r="C63" s="22" t="n">
        <x:v>9008</x:v>
      </x:c>
      <x:c r="D63" s="22" t="n">
        <x:v>1995</x:v>
      </x:c>
      <x:c r="E63" s="24" t="n">
        <x:f>IF(C63&gt;0,D63/C63,"")</x:f>
        <x:v>0.22146980461811722</x:v>
      </x:c>
      <x:c r="F63" s="22" t="n">
        <x:v>665</x:v>
      </x:c>
      <x:c r="G63" s="24" t="n">
        <x:f>IF(C63&gt;0,F63/C63,"")</x:f>
        <x:v>0.07382326820603907</x:v>
      </x:c>
      <x:c r="H63" s="22" t="n">
        <x:v>162</x:v>
      </x:c>
      <x:c r="I63" s="24" t="n">
        <x:f>IF(C63&gt;0,H63/C63,"")</x:f>
        <x:v>0.017984014209591476</x:v>
      </x:c>
      <x:c r="J63" s="22" t="n">
        <x:v>199</x:v>
      </x:c>
      <x:c r="K63" s="24" t="n">
        <x:f>IF(C63&gt;0,J63/C63,"")</x:f>
        <x:v>0.022091474245115452</x:v>
      </x:c>
      <x:c r="L63" s="26" t="n">
        <x:v>2.881689387211368</x:v>
      </x:c>
      <x:c r="M63" s="26" t="n">
        <x:v>23.804351810736133</x:v>
      </x:c>
    </x:row>
    <x:row r="64" ht="25" customHeight="1">
      <x:c r="A64" s="18" t="str">
        <x:v>额度降低</x:v>
      </x:c>
      <x:c r="B64" s="17" t="n">
        <x:v>4</x:v>
      </x:c>
      <x:c r="C64" s="21" t="n">
        <x:v>28588</x:v>
      </x:c>
      <x:c r="D64" s="21" t="n">
        <x:v>6954</x:v>
      </x:c>
      <x:c r="E64" s="23" t="n">
        <x:f>IF(C64&gt;0,D64/C64,"")</x:f>
        <x:v>0.24324891562893522</x:v>
      </x:c>
      <x:c r="F64" s="21" t="n">
        <x:v>2695</x:v>
      </x:c>
      <x:c r="G64" s="23" t="n">
        <x:f>IF(C64&gt;0,F64/C64,"")</x:f>
        <x:v>0.09427032321253673</x:v>
      </x:c>
      <x:c r="H64" s="21" t="n">
        <x:v>669</x:v>
      </x:c>
      <x:c r="I64" s="23" t="n">
        <x:f>IF(C64&gt;0,H64/C64,"")</x:f>
        <x:v>0.0234014271722401</x:v>
      </x:c>
      <x:c r="J64" s="21" t="n">
        <x:v>920</x:v>
      </x:c>
      <x:c r="K64" s="23" t="n">
        <x:f>IF(C64&gt;0,J64/C64,"")</x:f>
        <x:v>0.03218133482580104</x:v>
      </x:c>
      <x:c r="L64" s="25" t="n">
        <x:v>3.5607738561634252</x:v>
      </x:c>
      <x:c r="M64" s="25" t="n">
        <x:v>23.8583301657261</x:v>
      </x:c>
    </x:row>
    <x:row r="65" ht="25" customHeight="1">
      <x:c r="A65" s="19" t="str">
        <x:v>其他T0合计</x:v>
      </x:c>
      <x:c r="B65" s="20" t="n">
        <x:v>4</x:v>
      </x:c>
      <x:c r="C65" s="22" t="n">
        <x:v>76142</x:v>
      </x:c>
      <x:c r="D65" s="22" t="n">
        <x:v>19036</x:v>
      </x:c>
      <x:c r="E65" s="24" t="n">
        <x:f>IF(C65&gt;0,D65/C65,"")</x:f>
        <x:v>0.25000656667804894</x:v>
      </x:c>
      <x:c r="F65" s="22" t="n">
        <x:v>7663</x:v>
      </x:c>
      <x:c r="G65" s="24" t="n">
        <x:f>IF(C65&gt;0,F65/C65,"")</x:f>
        <x:v>0.10064090777757348</x:v>
      </x:c>
      <x:c r="H65" s="22" t="n">
        <x:v>2540</x:v>
      </x:c>
      <x:c r="I65" s="24" t="n">
        <x:f>IF(C65&gt;0,H65/C65,"")</x:f>
        <x:v>0.03335872448845578</x:v>
      </x:c>
      <x:c r="J65" s="22" t="n">
        <x:v>3024</x:v>
      </x:c>
      <x:c r="K65" s="24" t="n">
        <x:f>IF(C65&gt;0,J65/C65,"")</x:f>
        <x:v>0.039715268839799325</x:v>
      </x:c>
      <x:c r="L65" s="26" t="n">
        <x:v>4.526386724803657</x:v>
      </x:c>
      <x:c r="M65" s="26" t="n">
        <x:v>23.87532639308427</x:v>
      </x:c>
    </x:row>
    <x:row r="66" ht="25" customHeight="1">
      <x:c r="A66" s="18" t="str">
        <x:v>提额≥3000</x:v>
      </x:c>
      <x:c r="B66" s="17" t="n">
        <x:v>5</x:v>
      </x:c>
      <x:c r="C66" s="21" t="n">
        <x:v>12034</x:v>
      </x:c>
      <x:c r="D66" s="21" t="n">
        <x:v>3399</x:v>
      </x:c>
      <x:c r="E66" s="23" t="n">
        <x:f>IF(C66&gt;0,D66/C66,"")</x:f>
        <x:v>0.28244972577696525</x:v>
      </x:c>
      <x:c r="F66" s="21" t="n">
        <x:v>1786</x:v>
      </x:c>
      <x:c r="G66" s="23" t="n">
        <x:f>IF(C66&gt;0,F66/C66,"")</x:f>
        <x:v>0.14841283031411</x:v>
      </x:c>
      <x:c r="H66" s="21" t="n">
        <x:v>949</x:v>
      </x:c>
      <x:c r="I66" s="23" t="n">
        <x:f>IF(C66&gt;0,H66/C66,"")</x:f>
        <x:v>0.07885989695861725</x:v>
      </x:c>
      <x:c r="J66" s="21" t="n">
        <x:v>841</x:v>
      </x:c>
      <x:c r="K66" s="23" t="n">
        <x:f>IF(C66&gt;0,J66/C66,"")</x:f>
        <x:v>0.06988532491274721</x:v>
      </x:c>
      <x:c r="L66" s="25" t="n">
        <x:v>7.499136529832142</x:v>
      </x:c>
      <x:c r="M66" s="25" t="n">
        <x:v>23.982811063098996</x:v>
      </x:c>
    </x:row>
    <x:row r="67" ht="25" customHeight="1">
      <x:c r="A67" s="19" t="str">
        <x:v>提额0至3000</x:v>
      </x:c>
      <x:c r="B67" s="20" t="n">
        <x:v>5</x:v>
      </x:c>
      <x:c r="C67" s="22" t="n">
        <x:v>38165</x:v>
      </x:c>
      <x:c r="D67" s="22" t="n">
        <x:v>11192</x:v>
      </x:c>
      <x:c r="E67" s="24" t="n">
        <x:f>IF(C67&gt;0,D67/C67,"")</x:f>
        <x:v>0.29325298047949694</x:v>
      </x:c>
      <x:c r="F67" s="22" t="n">
        <x:v>4119</x:v>
      </x:c>
      <x:c r="G67" s="24" t="n">
        <x:f>IF(C67&gt;0,F67/C67,"")</x:f>
        <x:v>0.10792611031049391</x:v>
      </x:c>
      <x:c r="H67" s="22" t="n">
        <x:v>1543</x:v>
      </x:c>
      <x:c r="I67" s="24" t="n">
        <x:f>IF(C67&gt;0,H67/C67,"")</x:f>
        <x:v>0.04042971308790777</x:v>
      </x:c>
      <x:c r="J67" s="22" t="n">
        <x:v>1767</x:v>
      </x:c>
      <x:c r="K67" s="24" t="n">
        <x:f>IF(C67&gt;0,J67/C67,"")</x:f>
        <x:v>0.046298965020306566</x:v>
      </x:c>
      <x:c r="L67" s="26" t="n">
        <x:v>4.940565937377179</x:v>
      </x:c>
      <x:c r="M67" s="26" t="n">
        <x:v>23.84266812961265</x:v>
      </x:c>
    </x:row>
    <x:row r="68" ht="25" customHeight="1">
      <x:c r="A68" s="18" t="str">
        <x:v>额度不变</x:v>
      </x:c>
      <x:c r="B68" s="17" t="n">
        <x:v>5</x:v>
      </x:c>
      <x:c r="C68" s="21" t="n">
        <x:v>8832</x:v>
      </x:c>
      <x:c r="D68" s="21" t="n">
        <x:v>2104</x:v>
      </x:c>
      <x:c r="E68" s="23" t="n">
        <x:f>IF(C68&gt;0,D68/C68,"")</x:f>
        <x:v>0.23822463768115942</x:v>
      </x:c>
      <x:c r="F68" s="21" t="n">
        <x:v>623</x:v>
      </x:c>
      <x:c r="G68" s="23" t="n">
        <x:f>IF(C68&gt;0,F68/C68,"")</x:f>
        <x:v>0.07053894927536232</x:v>
      </x:c>
      <x:c r="H68" s="21" t="n">
        <x:v>118</x:v>
      </x:c>
      <x:c r="I68" s="23" t="n">
        <x:f>IF(C68&gt;0,H68/C68,"")</x:f>
        <x:v>0.013360507246376812</x:v>
      </x:c>
      <x:c r="J68" s="21" t="n">
        <x:v>154</x:v>
      </x:c>
      <x:c r="K68" s="23" t="n">
        <x:f>IF(C68&gt;0,J68/C68,"")</x:f>
        <x:v>0.017436594202898552</x:v>
      </x:c>
      <x:c r="L68" s="25" t="n">
        <x:v>2.574324162137681</x:v>
      </x:c>
      <x:c r="M68" s="25" t="n">
        <x:v>23.70799133202496</x:v>
      </x:c>
    </x:row>
    <x:row r="69" ht="25" customHeight="1">
      <x:c r="A69" s="19" t="str">
        <x:v>额度降低</x:v>
      </x:c>
      <x:c r="B69" s="20" t="n">
        <x:v>5</x:v>
      </x:c>
      <x:c r="C69" s="22" t="n">
        <x:v>28180</x:v>
      </x:c>
      <x:c r="D69" s="22" t="n">
        <x:v>7576</x:v>
      </x:c>
      <x:c r="E69" s="24" t="n">
        <x:f>IF(C69&gt;0,D69/C69,"")</x:f>
        <x:v>0.2688431511710433</x:v>
      </x:c>
      <x:c r="F69" s="22" t="n">
        <x:v>2546</x:v>
      </x:c>
      <x:c r="G69" s="24" t="n">
        <x:f>IF(C69&gt;0,F69/C69,"")</x:f>
        <x:v>0.09034776437189496</x:v>
      </x:c>
      <x:c r="H69" s="22" t="n">
        <x:v>664</x:v>
      </x:c>
      <x:c r="I69" s="24" t="n">
        <x:f>IF(C69&gt;0,H69/C69,"")</x:f>
        <x:v>0.023562810503903478</x:v>
      </x:c>
      <x:c r="J69" s="22" t="n">
        <x:v>870</x:v>
      </x:c>
      <x:c r="K69" s="24" t="n">
        <x:f>IF(C69&gt;0,J69/C69,"")</x:f>
        <x:v>0.030872959545777148</x:v>
      </x:c>
      <x:c r="L69" s="26" t="n">
        <x:v>3.7115362668559264</x:v>
      </x:c>
      <x:c r="M69" s="26" t="n">
        <x:v>23.793359297374025</x:v>
      </x:c>
    </x:row>
    <x:row r="70" ht="25" customHeight="1">
      <x:c r="A70" s="18" t="str">
        <x:v>其他T0合计</x:v>
      </x:c>
      <x:c r="B70" s="17" t="n">
        <x:v>5</x:v>
      </x:c>
      <x:c r="C70" s="21" t="n">
        <x:v>75177</x:v>
      </x:c>
      <x:c r="D70" s="21" t="n">
        <x:v>20872</x:v>
      </x:c>
      <x:c r="E70" s="23" t="n">
        <x:f>IF(C70&gt;0,D70/C70,"")</x:f>
        <x:v>0.27763810739986966</x:v>
      </x:c>
      <x:c r="F70" s="21" t="n">
        <x:v>7288</x:v>
      </x:c>
      <x:c r="G70" s="23" t="n">
        <x:f>IF(C70&gt;0,F70/C70,"")</x:f>
        <x:v>0.09694454420900009</x:v>
      </x:c>
      <x:c r="H70" s="21" t="n">
        <x:v>2325</x:v>
      </x:c>
      <x:c r="I70" s="23" t="n">
        <x:f>IF(C70&gt;0,H70/C70,"")</x:f>
        <x:v>0.030927012251087432</x:v>
      </x:c>
      <x:c r="J70" s="21" t="n">
        <x:v>2791</x:v>
      </x:c>
      <x:c r="K70" s="23" t="n">
        <x:f>IF(C70&gt;0,J70/C70,"")</x:f>
        <x:v>0.037125716642058076</x:v>
      </x:c>
      <x:c r="L70" s="25" t="n">
        <x:v>4.20187320590074</x:v>
      </x:c>
      <x:c r="M70" s="25" t="n">
        <x:v>23.808362579128065</x:v>
      </x:c>
    </x:row>
    <x:row r="71" ht="25" customHeight="1">
      <x:c r="A71" s="19" t="str">
        <x:v>提额≥3000</x:v>
      </x:c>
      <x:c r="B71" s="20" t="n">
        <x:v>6</x:v>
      </x:c>
      <x:c r="C71" s="22" t="n">
        <x:v>12007</x:v>
      </x:c>
      <x:c r="D71" s="22" t="n">
        <x:v>3964</x:v>
      </x:c>
      <x:c r="E71" s="24" t="n">
        <x:f>IF(C71&gt;0,D71/C71,"")</x:f>
        <x:v>0.33014075122845005</x:v>
      </x:c>
      <x:c r="F71" s="22" t="n">
        <x:v>1848</x:v>
      </x:c>
      <x:c r="G71" s="24" t="n">
        <x:f>IF(C71&gt;0,F71/C71,"")</x:f>
        <x:v>0.153910219038894</x:v>
      </x:c>
      <x:c r="H71" s="22" t="n">
        <x:v>1030</x:v>
      </x:c>
      <x:c r="I71" s="24" t="n">
        <x:f>IF(C71&gt;0,H71/C71,"")</x:f>
        <x:v>0.08578329307903723</x:v>
      </x:c>
      <x:c r="J71" s="22" t="n">
        <x:v>911</x:v>
      </x:c>
      <x:c r="K71" s="24" t="n">
        <x:f>IF(C71&gt;0,J71/C71,"")</x:f>
        <x:v>0.07587240776213876</x:v>
      </x:c>
      <x:c r="L71" s="26" t="n">
        <x:v>8.93943691180145</x:v>
      </x:c>
      <x:c r="M71" s="26" t="n">
        <x:v>23.940515139316883</x:v>
      </x:c>
    </x:row>
    <x:row r="72" ht="25" customHeight="1">
      <x:c r="A72" s="18" t="str">
        <x:v>提额0至3000</x:v>
      </x:c>
      <x:c r="B72" s="17" t="n">
        <x:v>6</x:v>
      </x:c>
      <x:c r="C72" s="21" t="n">
        <x:v>37525</x:v>
      </x:c>
      <x:c r="D72" s="21" t="n">
        <x:v>13804</x:v>
      </x:c>
      <x:c r="E72" s="23" t="n">
        <x:f>IF(C72&gt;0,D72/C72,"")</x:f>
        <x:v>0.3678614257161892</x:v>
      </x:c>
      <x:c r="F72" s="21" t="n">
        <x:v>4527</x:v>
      </x:c>
      <x:c r="G72" s="23" t="n">
        <x:f>IF(C72&gt;0,F72/C72,"")</x:f>
        <x:v>0.12063957361758827</x:v>
      </x:c>
      <x:c r="H72" s="21" t="n">
        <x:v>1859</x:v>
      </x:c>
      <x:c r="I72" s="23" t="n">
        <x:f>IF(C72&gt;0,H72/C72,"")</x:f>
        <x:v>0.04954030646235843</x:v>
      </x:c>
      <x:c r="J72" s="21" t="n">
        <x:v>2086</x:v>
      </x:c>
      <x:c r="K72" s="23" t="n">
        <x:f>IF(C72&gt;0,J72/C72,"")</x:f>
        <x:v>0.05558960692871419</x:v>
      </x:c>
      <x:c r="L72" s="25" t="n">
        <x:v>7.342198027981347</x:v>
      </x:c>
      <x:c r="M72" s="25" t="n">
        <x:v>23.719997616403877</x:v>
      </x:c>
    </x:row>
    <x:row r="73" ht="25" customHeight="1">
      <x:c r="A73" s="19" t="str">
        <x:v>额度不变</x:v>
      </x:c>
      <x:c r="B73" s="20" t="n">
        <x:v>6</x:v>
      </x:c>
      <x:c r="C73" s="22" t="n">
        <x:v>8547</x:v>
      </x:c>
      <x:c r="D73" s="22" t="n">
        <x:v>2871</x:v>
      </x:c>
      <x:c r="E73" s="24" t="n">
        <x:f>IF(C73&gt;0,D73/C73,"")</x:f>
        <x:v>0.3359073359073359</x:v>
      </x:c>
      <x:c r="F73" s="22" t="n">
        <x:v>735</x:v>
      </x:c>
      <x:c r="G73" s="24" t="n">
        <x:f>IF(C73&gt;0,F73/C73,"")</x:f>
        <x:v>0.085995085995086</x:v>
      </x:c>
      <x:c r="H73" s="22" t="n">
        <x:v>186</x:v>
      </x:c>
      <x:c r="I73" s="24" t="n">
        <x:f>IF(C73&gt;0,H73/C73,"")</x:f>
        <x:v>0.02176202176202176</x:v>
      </x:c>
      <x:c r="J73" s="22" t="n">
        <x:v>208</x:v>
      </x:c>
      <x:c r="K73" s="24" t="n">
        <x:f>IF(C73&gt;0,J73/C73,"")</x:f>
        <x:v>0.024336024336024335</x:v>
      </x:c>
      <x:c r="L73" s="26" t="n">
        <x:v>3.737126126126127</x:v>
      </x:c>
      <x:c r="M73" s="26" t="n">
        <x:v>23.362788145288146</x:v>
      </x:c>
    </x:row>
    <x:row r="74" ht="25" customHeight="1">
      <x:c r="A74" s="18" t="str">
        <x:v>额度降低</x:v>
      </x:c>
      <x:c r="B74" s="17" t="n">
        <x:v>6</x:v>
      </x:c>
      <x:c r="C74" s="21" t="n">
        <x:v>27534</x:v>
      </x:c>
      <x:c r="D74" s="21" t="n">
        <x:v>9297</x:v>
      </x:c>
      <x:c r="E74" s="23" t="n">
        <x:f>IF(C74&gt;0,D74/C74,"")</x:f>
        <x:v>0.33765526258444106</x:v>
      </x:c>
      <x:c r="F74" s="21" t="n">
        <x:v>2786</x:v>
      </x:c>
      <x:c r="G74" s="23" t="n">
        <x:f>IF(C74&gt;0,F74/C74,"")</x:f>
        <x:v>0.1011839907024043</x:v>
      </x:c>
      <x:c r="H74" s="21" t="n">
        <x:v>802</x:v>
      </x:c>
      <x:c r="I74" s="23" t="n">
        <x:f>IF(C74&gt;0,H74/C74,"")</x:f>
        <x:v>0.029127624028473888</x:v>
      </x:c>
      <x:c r="J74" s="21" t="n">
        <x:v>1058</x:v>
      </x:c>
      <x:c r="K74" s="23" t="n">
        <x:f>IF(C74&gt;0,J74/C74,"")</x:f>
        <x:v>0.038425219728335874</x:v>
      </x:c>
      <x:c r="L74" s="25" t="n">
        <x:v>5.0115513183700156</x:v>
      </x:c>
      <x:c r="M74" s="25" t="n">
        <x:v>23.607044381491974</x:v>
      </x:c>
    </x:row>
    <x:row r="75" ht="25" customHeight="1">
      <x:c r="A75" s="19" t="str">
        <x:v>其他T0合计</x:v>
      </x:c>
      <x:c r="B75" s="20" t="n">
        <x:v>6</x:v>
      </x:c>
      <x:c r="C75" s="22" t="n">
        <x:v>73606</x:v>
      </x:c>
      <x:c r="D75" s="22" t="n">
        <x:v>25972</x:v>
      </x:c>
      <x:c r="E75" s="24" t="n">
        <x:f>IF(C75&gt;0,D75/C75,"")</x:f>
        <x:v>0.3528516697008396</x:v>
      </x:c>
      <x:c r="F75" s="22" t="n">
        <x:v>8048</x:v>
      </x:c>
      <x:c r="G75" s="24" t="n">
        <x:f>IF(C75&gt;0,F75/C75,"")</x:f>
        <x:v>0.10933891258864767</x:v>
      </x:c>
      <x:c r="H75" s="22" t="n">
        <x:v>2847</x:v>
      </x:c>
      <x:c r="I75" s="24" t="n">
        <x:f>IF(C75&gt;0,H75/C75,"")</x:f>
        <x:v>0.038678912045213704</x:v>
      </x:c>
      <x:c r="J75" s="22" t="n">
        <x:v>3352</x:v>
      </x:c>
      <x:c r="K75" s="24" t="n">
        <x:f>IF(C75&gt;0,J75/C75,"")</x:f>
        <x:v>0.04553976577996359</x:v>
      </x:c>
      <x:c r="L75" s="26" t="n">
        <x:v>6.051751922397631</x:v>
      </x:c>
      <x:c r="M75" s="26" t="n">
        <x:v>23.63626634830494</x:v>
      </x:c>
    </x:row>
    <x:row r="76" ht="25" customHeight="1">
      <x:c r="A76" s="18" t="str">
        <x:v>提额≥3000</x:v>
      </x:c>
      <x:c r="B76" s="17" t="n">
        <x:v>7</x:v>
      </x:c>
      <x:c r="C76" s="21" t="n">
        <x:v>11935</x:v>
      </x:c>
      <x:c r="D76" s="21" t="n">
        <x:v>3750</x:v>
      </x:c>
      <x:c r="E76" s="23" t="n">
        <x:f>IF(C76&gt;0,D76/C76,"")</x:f>
        <x:v>0.31420192710515293</x:v>
      </x:c>
      <x:c r="F76" s="21" t="n">
        <x:v>1823</x:v>
      </x:c>
      <x:c r="G76" s="23" t="n">
        <x:f>IF(C76&gt;0,F76/C76,"")</x:f>
        <x:v>0.152744030163385</x:v>
      </x:c>
      <x:c r="H76" s="21" t="n">
        <x:v>1046</x:v>
      </x:c>
      <x:c r="I76" s="23" t="n">
        <x:f>IF(C76&gt;0,H76/C76,"")</x:f>
        <x:v>0.08764139086719731</x:v>
      </x:c>
      <x:c r="J76" s="21" t="n">
        <x:v>1007</x:v>
      </x:c>
      <x:c r="K76" s="23" t="n">
        <x:f>IF(C76&gt;0,J76/C76,"")</x:f>
        <x:v>0.08437369082530373</x:v>
      </x:c>
      <x:c r="L76" s="25" t="n">
        <x:v>12.506055802262255</x:v>
      </x:c>
      <x:c r="M76" s="25" t="n">
        <x:v>23.955448982916725</x:v>
      </x:c>
    </x:row>
    <x:row r="77" ht="25" customHeight="1">
      <x:c r="A77" s="19" t="str">
        <x:v>提额0至3000</x:v>
      </x:c>
      <x:c r="B77" s="20" t="n">
        <x:v>7</x:v>
      </x:c>
      <x:c r="C77" s="22" t="n">
        <x:v>36349</x:v>
      </x:c>
      <x:c r="D77" s="22" t="n">
        <x:v>12182</x:v>
      </x:c>
      <x:c r="E77" s="24" t="n">
        <x:f>IF(C77&gt;0,D77/C77,"")</x:f>
        <x:v>0.3351398938072574</x:v>
      </x:c>
      <x:c r="F77" s="22" t="n">
        <x:v>4105</x:v>
      </x:c>
      <x:c r="G77" s="24" t="n">
        <x:f>IF(C77&gt;0,F77/C77,"")</x:f>
        <x:v>0.11293295551459462</x:v>
      </x:c>
      <x:c r="H77" s="22" t="n">
        <x:v>1855</x:v>
      </x:c>
      <x:c r="I77" s="24" t="n">
        <x:f>IF(C77&gt;0,H77/C77,"")</x:f>
        <x:v>0.05103304079892156</x:v>
      </x:c>
      <x:c r="J77" s="22" t="n">
        <x:v>2183</x:v>
      </x:c>
      <x:c r="K77" s="24" t="n">
        <x:f>IF(C77&gt;0,J77/C77,"")</x:f>
        <x:v>0.06005667281080635</x:v>
      </x:c>
      <x:c r="L77" s="26" t="n">
        <x:v>8.252809870973067</x:v>
      </x:c>
      <x:c r="M77" s="26" t="n">
        <x:v>23.76631703913603</x:v>
      </x:c>
    </x:row>
    <x:row r="78" ht="25" customHeight="1">
      <x:c r="A78" s="18" t="str">
        <x:v>额度不变</x:v>
      </x:c>
      <x:c r="B78" s="17" t="n">
        <x:v>7</x:v>
      </x:c>
      <x:c r="C78" s="21" t="n">
        <x:v>7967</x:v>
      </x:c>
      <x:c r="D78" s="21" t="n">
        <x:v>2362</x:v>
      </x:c>
      <x:c r="E78" s="23" t="n">
        <x:f>IF(C78&gt;0,D78/C78,"")</x:f>
        <x:v>0.29647295092255554</x:v>
      </x:c>
      <x:c r="F78" s="21" t="n">
        <x:v>565</x:v>
      </x:c>
      <x:c r="G78" s="23" t="n">
        <x:f>IF(C78&gt;0,F78/C78,"")</x:f>
        <x:v>0.07091753483117862</x:v>
      </x:c>
      <x:c r="H78" s="21" t="n">
        <x:v>175</x:v>
      </x:c>
      <x:c r="I78" s="23" t="n">
        <x:f>IF(C78&gt;0,H78/C78,"")</x:f>
        <x:v>0.021965608133550897</x:v>
      </x:c>
      <x:c r="J78" s="21" t="n">
        <x:v>217</x:v>
      </x:c>
      <x:c r="K78" s="23" t="n">
        <x:f>IF(C78&gt;0,J78/C78,"")</x:f>
        <x:v>0.027237354085603113</x:v>
      </x:c>
      <x:c r="L78" s="25" t="n">
        <x:v>4.111943391489896</x:v>
      </x:c>
      <x:c r="M78" s="25" t="n">
        <x:v>23.473164860605554</x:v>
      </x:c>
    </x:row>
    <x:row r="79" ht="25" customHeight="1">
      <x:c r="A79" s="19" t="str">
        <x:v>额度降低</x:v>
      </x:c>
      <x:c r="B79" s="20" t="n">
        <x:v>7</x:v>
      </x:c>
      <x:c r="C79" s="22" t="n">
        <x:v>26317</x:v>
      </x:c>
      <x:c r="D79" s="22" t="n">
        <x:v>8162</x:v>
      </x:c>
      <x:c r="E79" s="24" t="n">
        <x:f>IF(C79&gt;0,D79/C79,"")</x:f>
        <x:v>0.3101417334802599</x:v>
      </x:c>
      <x:c r="F79" s="22" t="n">
        <x:v>2397</x:v>
      </x:c>
      <x:c r="G79" s="24" t="n">
        <x:f>IF(C79&gt;0,F79/C79,"")</x:f>
        <x:v>0.09108181023672911</x:v>
      </x:c>
      <x:c r="H79" s="22" t="n">
        <x:v>843</x:v>
      </x:c>
      <x:c r="I79" s="24" t="n">
        <x:f>IF(C79&gt;0,H79/C79,"")</x:f>
        <x:v>0.03203252650378083</x:v>
      </x:c>
      <x:c r="J79" s="22" t="n">
        <x:v>1087</x:v>
      </x:c>
      <x:c r="K79" s="24" t="n">
        <x:f>IF(C79&gt;0,J79/C79,"")</x:f>
        <x:v>0.041304100011399475</x:v>
      </x:c>
      <x:c r="L79" s="26" t="n">
        <x:v>5.771052247596611</x:v>
      </x:c>
      <x:c r="M79" s="26" t="n">
        <x:v>23.667543434113142</x:v>
      </x:c>
    </x:row>
    <x:row r="80" ht="25" customHeight="1">
      <x:c r="A80" s="18" t="str">
        <x:v>其他T0合计</x:v>
      </x:c>
      <x:c r="B80" s="17" t="n">
        <x:v>7</x:v>
      </x:c>
      <x:c r="C80" s="21" t="n">
        <x:v>70633</x:v>
      </x:c>
      <x:c r="D80" s="21" t="n">
        <x:v>22706</x:v>
      </x:c>
      <x:c r="E80" s="23" t="n">
        <x:f>IF(C80&gt;0,D80/C80,"")</x:f>
        <x:v>0.3214644712811292</x:v>
      </x:c>
      <x:c r="F80" s="21" t="n">
        <x:v>7067</x:v>
      </x:c>
      <x:c r="G80" s="23" t="n">
        <x:f>IF(C80&gt;0,F80/C80,"")</x:f>
        <x:v>0.1000523834468308</x:v>
      </x:c>
      <x:c r="H80" s="21" t="n">
        <x:v>2873</x:v>
      </x:c>
      <x:c r="I80" s="23" t="n">
        <x:f>IF(C80&gt;0,H80/C80,"")</x:f>
        <x:v>0.04067503857970071</x:v>
      </x:c>
      <x:c r="J80" s="21" t="n">
        <x:v>3487</x:v>
      </x:c>
      <x:c r="K80" s="23" t="n">
        <x:f>IF(C80&gt;0,J80/C80,"")</x:f>
        <x:v>0.04936785921594722</x:v>
      </x:c>
      <x:c r="L80" s="25" t="n">
        <x:v>6.86107090170317</x:v>
      </x:c>
      <x:c r="M80" s="25" t="n">
        <x:v>23.696449295025772</x:v>
      </x:c>
    </x:row>
    <x:row r="81" ht="2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</x:row>
    <x:row r="82" ht="2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</x:row>
    <x:row r="83" ht="2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</x:row>
    <x:row r="84" ht="2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 ht="2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08394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7" hidden="0" customWidth="1"/>
    <x:col min="2" max="2" width="25" hidden="0" customWidth="1"/>
    <x:col min="3" max="3" width="2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未提单状态与可比条件对照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 t="str">
        <x:v>分组均按事件统计；标准化只覆盖有共同样本的分层，不能外推或作因果解释。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 ht="58" customHeight="1">
      <x:c r="A5" s="14" t="str">
        <x:v>事件分组</x:v>
      </x:c>
      <x:c r="B5" s="15" t="str">
        <x:v>未提单状态</x:v>
      </x:c>
      <x:c r="C5" s="15" t="str">
        <x:v>未提单
事件数</x:v>
      </x:c>
      <x:c r="D5" s="15" t="str">
        <x:v>该状态
事件数</x:v>
      </x:c>
      <x:c r="E5" s="16" t="str">
        <x:v>在未提单中的
占比</x:v>
      </x:c>
      <x:c r="F5" s="2"/>
      <x:c r="G5" s="2"/>
      <x:c r="H5" s="2"/>
      <x:c r="I5" s="2"/>
      <x:c r="J5" s="2"/>
      <x:c r="K5" s="2"/>
    </x:row>
    <x:row r="6" ht="25" customHeight="1">
      <x:c r="A6" s="18" t="str">
        <x:v>提额≥3000</x:v>
      </x:c>
      <x:c r="B6" s="17" t="str">
        <x:v>无获额后行为记录</x:v>
      </x:c>
      <x:c r="C6" s="21" t="n">
        <x:v>9248</x:v>
      </x:c>
      <x:c r="D6" s="21" t="n">
        <x:v>1068</x:v>
      </x:c>
      <x:c r="E6" s="23" t="n">
        <x:f>IF(C6&gt;0,D6/C6,"")</x:f>
        <x:v>0.11548442906574395</x:v>
      </x:c>
      <x:c r="F6" s="2"/>
      <x:c r="G6" s="2"/>
      <x:c r="H6" s="2"/>
      <x:c r="I6" s="2"/>
      <x:c r="J6" s="2"/>
      <x:c r="K6" s="2"/>
    </x:row>
    <x:row r="7" ht="25" customHeight="1">
      <x:c r="A7" s="19" t="str">
        <x:v>提额≥3000</x:v>
      </x:c>
      <x:c r="B7" s="20" t="str">
        <x:v>有记录但缺少借款页进页记录</x:v>
      </x:c>
      <x:c r="C7" s="22" t="n">
        <x:v>9248</x:v>
      </x:c>
      <x:c r="D7" s="22" t="n">
        <x:v>888</x:v>
      </x:c>
      <x:c r="E7" s="24" t="n">
        <x:f>IF(C7&gt;0,D7/C7,"")</x:f>
        <x:v>0.09602076124567474</x:v>
      </x:c>
      <x:c r="F7" s="2"/>
      <x:c r="G7" s="2"/>
      <x:c r="H7" s="2"/>
      <x:c r="I7" s="2"/>
      <x:c r="J7" s="2"/>
      <x:c r="K7" s="2"/>
    </x:row>
    <x:row r="8" ht="25" customHeight="1">
      <x:c r="A8" s="18" t="str">
        <x:v>提额≥3000</x:v>
      </x:c>
      <x:c r="B8" s="17" t="str">
        <x:v>进页但无所列互动</x:v>
      </x:c>
      <x:c r="C8" s="21" t="n">
        <x:v>9248</x:v>
      </x:c>
      <x:c r="D8" s="21" t="n">
        <x:v>2396</x:v>
      </x:c>
      <x:c r="E8" s="23" t="n">
        <x:f>IF(C8&gt;0,D8/C8,"")</x:f>
        <x:v>0.25908304498269896</x:v>
      </x:c>
      <x:c r="F8" s="2"/>
      <x:c r="G8" s="2"/>
      <x:c r="H8" s="2"/>
      <x:c r="I8" s="2"/>
      <x:c r="J8" s="2"/>
      <x:c r="K8" s="2"/>
    </x:row>
    <x:row r="9" ht="25" customHeight="1">
      <x:c r="A9" s="19" t="str">
        <x:v>提额≥3000</x:v>
      </x:c>
      <x:c r="B9" s="20" t="str">
        <x:v>进页且有互动但未提单</x:v>
      </x:c>
      <x:c r="C9" s="22" t="n">
        <x:v>9248</x:v>
      </x:c>
      <x:c r="D9" s="22" t="n">
        <x:v>4896</x:v>
      </x:c>
      <x:c r="E9" s="24" t="n">
        <x:f>IF(C9&gt;0,D9/C9,"")</x:f>
        <x:v>0.5294117647058824</x:v>
      </x:c>
      <x:c r="F9" s="2"/>
      <x:c r="G9" s="2"/>
      <x:c r="H9" s="2"/>
      <x:c r="I9" s="2"/>
      <x:c r="J9" s="2"/>
      <x:c r="K9" s="2"/>
    </x:row>
    <x:row r="10" ht="25" customHeight="1">
      <x:c r="A10" s="18" t="str">
        <x:v>提额0至3000</x:v>
      </x:c>
      <x:c r="B10" s="17" t="str">
        <x:v>无获额后行为记录</x:v>
      </x:c>
      <x:c r="C10" s="21" t="n">
        <x:v>23158</x:v>
      </x:c>
      <x:c r="D10" s="21" t="n">
        <x:v>2969</x:v>
      </x:c>
      <x:c r="E10" s="23" t="n">
        <x:f>IF(C10&gt;0,D10/C10,"")</x:f>
        <x:v>0.1282062354262026</x:v>
      </x:c>
      <x:c r="F10" s="2"/>
      <x:c r="G10" s="2"/>
      <x:c r="H10" s="2"/>
      <x:c r="I10" s="2"/>
      <x:c r="J10" s="2"/>
      <x:c r="K10" s="2"/>
    </x:row>
    <x:row r="11" ht="25" customHeight="1">
      <x:c r="A11" s="19" t="str">
        <x:v>提额0至3000</x:v>
      </x:c>
      <x:c r="B11" s="20" t="str">
        <x:v>有记录但缺少借款页进页记录</x:v>
      </x:c>
      <x:c r="C11" s="22" t="n">
        <x:v>23158</x:v>
      </x:c>
      <x:c r="D11" s="22" t="n">
        <x:v>2513</x:v>
      </x:c>
      <x:c r="E11" s="24" t="n">
        <x:f>IF(C11&gt;0,D11/C11,"")</x:f>
        <x:v>0.10851541583901891</x:v>
      </x:c>
      <x:c r="F11" s="2"/>
      <x:c r="G11" s="2"/>
      <x:c r="H11" s="2"/>
      <x:c r="I11" s="2"/>
      <x:c r="J11" s="2"/>
      <x:c r="K11" s="2"/>
    </x:row>
    <x:row r="12" ht="25" customHeight="1">
      <x:c r="A12" s="18" t="str">
        <x:v>提额0至3000</x:v>
      </x:c>
      <x:c r="B12" s="17" t="str">
        <x:v>进页但无所列互动</x:v>
      </x:c>
      <x:c r="C12" s="21" t="n">
        <x:v>23158</x:v>
      </x:c>
      <x:c r="D12" s="21" t="n">
        <x:v>6563</x:v>
      </x:c>
      <x:c r="E12" s="23" t="n">
        <x:f>IF(C12&gt;0,D12/C12,"")</x:f>
        <x:v>0.28340098454097934</x:v>
      </x:c>
      <x:c r="F12" s="2"/>
      <x:c r="G12" s="2"/>
      <x:c r="H12" s="2"/>
      <x:c r="I12" s="2"/>
      <x:c r="J12" s="2"/>
      <x:c r="K12" s="2"/>
    </x:row>
    <x:row r="13" ht="25" customHeight="1">
      <x:c r="A13" s="19" t="str">
        <x:v>提额0至3000</x:v>
      </x:c>
      <x:c r="B13" s="20" t="str">
        <x:v>进页且有互动但未提单</x:v>
      </x:c>
      <x:c r="C13" s="22" t="n">
        <x:v>23158</x:v>
      </x:c>
      <x:c r="D13" s="22" t="n">
        <x:v>11113</x:v>
      </x:c>
      <x:c r="E13" s="24" t="n">
        <x:f>IF(C13&gt;0,D13/C13,"")</x:f>
        <x:v>0.4798773641937991</x:v>
      </x:c>
      <x:c r="F13" s="2"/>
      <x:c r="G13" s="2"/>
      <x:c r="H13" s="2"/>
      <x:c r="I13" s="2"/>
      <x:c r="J13" s="2"/>
      <x:c r="K13" s="2"/>
    </x:row>
    <x:row r="14" ht="25" customHeight="1">
      <x:c r="A14" s="18" t="str">
        <x:v>额度不变</x:v>
      </x:c>
      <x:c r="B14" s="17" t="str">
        <x:v>无获额后行为记录</x:v>
      </x:c>
      <x:c r="C14" s="21" t="n">
        <x:v>4675</x:v>
      </x:c>
      <x:c r="D14" s="21" t="n">
        <x:v>617</x:v>
      </x:c>
      <x:c r="E14" s="23" t="n">
        <x:f>IF(C14&gt;0,D14/C14,"")</x:f>
        <x:v>0.13197860962566846</x:v>
      </x:c>
      <x:c r="F14" s="2"/>
      <x:c r="G14" s="2"/>
      <x:c r="H14" s="2"/>
      <x:c r="I14" s="2"/>
      <x:c r="J14" s="2"/>
      <x:c r="K14" s="2"/>
    </x:row>
    <x:row r="15" ht="25" customHeight="1">
      <x:c r="A15" s="19" t="str">
        <x:v>额度不变</x:v>
      </x:c>
      <x:c r="B15" s="20" t="str">
        <x:v>有记录但缺少借款页进页记录</x:v>
      </x:c>
      <x:c r="C15" s="22" t="n">
        <x:v>4675</x:v>
      </x:c>
      <x:c r="D15" s="22" t="n">
        <x:v>538</x:v>
      </x:c>
      <x:c r="E15" s="24" t="n">
        <x:f>IF(C15&gt;0,D15/C15,"")</x:f>
        <x:v>0.11508021390374332</x:v>
      </x:c>
      <x:c r="F15" s="2"/>
      <x:c r="G15" s="2"/>
      <x:c r="H15" s="2"/>
      <x:c r="I15" s="2"/>
      <x:c r="J15" s="2"/>
      <x:c r="K15" s="2"/>
    </x:row>
    <x:row r="16" ht="25" customHeight="1">
      <x:c r="A16" s="18" t="str">
        <x:v>额度不变</x:v>
      </x:c>
      <x:c r="B16" s="17" t="str">
        <x:v>进页但无所列互动</x:v>
      </x:c>
      <x:c r="C16" s="21" t="n">
        <x:v>4675</x:v>
      </x:c>
      <x:c r="D16" s="21" t="n">
        <x:v>1859</x:v>
      </x:c>
      <x:c r="E16" s="23" t="n">
        <x:f>IF(C16&gt;0,D16/C16,"")</x:f>
        <x:v>0.3976470588235294</x:v>
      </x:c>
      <x:c r="F16" s="2"/>
      <x:c r="G16" s="2"/>
      <x:c r="H16" s="2"/>
      <x:c r="I16" s="2"/>
      <x:c r="J16" s="2"/>
      <x:c r="K16" s="2"/>
    </x:row>
    <x:row r="17" ht="25" customHeight="1">
      <x:c r="A17" s="19" t="str">
        <x:v>额度不变</x:v>
      </x:c>
      <x:c r="B17" s="20" t="str">
        <x:v>进页且有互动但未提单</x:v>
      </x:c>
      <x:c r="C17" s="22" t="n">
        <x:v>4675</x:v>
      </x:c>
      <x:c r="D17" s="22" t="n">
        <x:v>1661</x:v>
      </x:c>
      <x:c r="E17" s="24" t="n">
        <x:f>IF(C17&gt;0,D17/C17,"")</x:f>
        <x:v>0.3552941176470588</x:v>
      </x:c>
      <x:c r="F17" s="2"/>
      <x:c r="G17" s="2"/>
      <x:c r="H17" s="2"/>
      <x:c r="I17" s="2"/>
      <x:c r="J17" s="2"/>
      <x:c r="K17" s="2"/>
    </x:row>
    <x:row r="18" ht="25" customHeight="1">
      <x:c r="A18" s="18" t="str">
        <x:v>额度降低</x:v>
      </x:c>
      <x:c r="B18" s="17" t="str">
        <x:v>无获额后行为记录</x:v>
      </x:c>
      <x:c r="C18" s="21" t="n">
        <x:v>17105</x:v>
      </x:c>
      <x:c r="D18" s="21" t="n">
        <x:v>1961</x:v>
      </x:c>
      <x:c r="E18" s="23" t="n">
        <x:f>IF(C18&gt;0,D18/C18,"")</x:f>
        <x:v>0.11464484068985677</x:v>
      </x:c>
      <x:c r="F18" s="2"/>
      <x:c r="G18" s="2"/>
      <x:c r="H18" s="2"/>
      <x:c r="I18" s="2"/>
      <x:c r="J18" s="2"/>
      <x:c r="K18" s="2"/>
    </x:row>
    <x:row r="19" ht="25" customHeight="1">
      <x:c r="A19" s="19" t="str">
        <x:v>额度降低</x:v>
      </x:c>
      <x:c r="B19" s="20" t="str">
        <x:v>有记录但缺少借款页进页记录</x:v>
      </x:c>
      <x:c r="C19" s="22" t="n">
        <x:v>17105</x:v>
      </x:c>
      <x:c r="D19" s="22" t="n">
        <x:v>1692</x:v>
      </x:c>
      <x:c r="E19" s="24" t="n">
        <x:f>IF(C19&gt;0,D19/C19,"")</x:f>
        <x:v>0.09891844489915229</x:v>
      </x:c>
      <x:c r="F19" s="2"/>
      <x:c r="G19" s="2"/>
      <x:c r="H19" s="2"/>
      <x:c r="I19" s="2"/>
      <x:c r="J19" s="2"/>
      <x:c r="K19" s="2"/>
    </x:row>
    <x:row r="20" ht="25" customHeight="1">
      <x:c r="A20" s="18" t="str">
        <x:v>额度降低</x:v>
      </x:c>
      <x:c r="B20" s="17" t="str">
        <x:v>进页但无所列互动</x:v>
      </x:c>
      <x:c r="C20" s="21" t="n">
        <x:v>17105</x:v>
      </x:c>
      <x:c r="D20" s="21" t="n">
        <x:v>6890</x:v>
      </x:c>
      <x:c r="E20" s="23" t="n">
        <x:f>IF(C20&gt;0,D20/C20,"")</x:f>
        <x:v>0.4028061970184157</x:v>
      </x:c>
      <x:c r="F20" s="2"/>
      <x:c r="G20" s="2"/>
      <x:c r="H20" s="2"/>
      <x:c r="I20" s="2"/>
      <x:c r="J20" s="2"/>
      <x:c r="K20" s="2"/>
    </x:row>
    <x:row r="21" ht="25" customHeight="1">
      <x:c r="A21" s="19" t="str">
        <x:v>额度降低</x:v>
      </x:c>
      <x:c r="B21" s="20" t="str">
        <x:v>进页且有互动但未提单</x:v>
      </x:c>
      <x:c r="C21" s="22" t="n">
        <x:v>17105</x:v>
      </x:c>
      <x:c r="D21" s="22" t="n">
        <x:v>6562</x:v>
      </x:c>
      <x:c r="E21" s="24" t="n">
        <x:f>IF(C21&gt;0,D21/C21,"")</x:f>
        <x:v>0.38363051739257525</x:v>
      </x:c>
      <x:c r="F21" s="2"/>
      <x:c r="G21" s="2"/>
      <x:c r="H21" s="2"/>
      <x:c r="I21" s="2"/>
      <x:c r="J21" s="2"/>
      <x:c r="K21" s="2"/>
    </x:row>
    <x:row r="22" ht="25" customHeight="1">
      <x:c r="A22" s="18" t="str">
        <x:v>其他T0合计</x:v>
      </x:c>
      <x:c r="B22" s="17" t="str">
        <x:v>无获额后行为记录</x:v>
      </x:c>
      <x:c r="C22" s="21" t="n">
        <x:v>44938</x:v>
      </x:c>
      <x:c r="D22" s="21" t="n">
        <x:v>5547</x:v>
      </x:c>
      <x:c r="E22" s="23" t="n">
        <x:f>IF(C22&gt;0,D22/C22,"")</x:f>
        <x:v>0.12343673505718991</x:v>
      </x:c>
      <x:c r="F22" s="2"/>
      <x:c r="G22" s="2"/>
      <x:c r="H22" s="2"/>
      <x:c r="I22" s="2"/>
      <x:c r="J22" s="2"/>
      <x:c r="K22" s="2"/>
    </x:row>
    <x:row r="23" ht="25" customHeight="1">
      <x:c r="A23" s="19" t="str">
        <x:v>其他T0合计</x:v>
      </x:c>
      <x:c r="B23" s="20" t="str">
        <x:v>有记录但缺少借款页进页记录</x:v>
      </x:c>
      <x:c r="C23" s="22" t="n">
        <x:v>44938</x:v>
      </x:c>
      <x:c r="D23" s="22" t="n">
        <x:v>4743</x:v>
      </x:c>
      <x:c r="E23" s="24" t="n">
        <x:f>IF(C23&gt;0,D23/C23,"")</x:f>
        <x:v>0.10554541813164804</x:v>
      </x:c>
      <x:c r="F23" s="2"/>
      <x:c r="G23" s="2"/>
      <x:c r="H23" s="2"/>
      <x:c r="I23" s="2"/>
      <x:c r="J23" s="2"/>
      <x:c r="K23" s="2"/>
    </x:row>
    <x:row r="24" ht="25" customHeight="1">
      <x:c r="A24" s="18" t="str">
        <x:v>其他T0合计</x:v>
      </x:c>
      <x:c r="B24" s="17" t="str">
        <x:v>进页但无所列互动</x:v>
      </x:c>
      <x:c r="C24" s="21" t="n">
        <x:v>44938</x:v>
      </x:c>
      <x:c r="D24" s="21" t="n">
        <x:v>15312</x:v>
      </x:c>
      <x:c r="E24" s="23" t="n">
        <x:f>IF(C24&gt;0,D24/C24,"")</x:f>
        <x:v>0.34073612532823</x:v>
      </x:c>
      <x:c r="F24" s="2"/>
      <x:c r="G24" s="2"/>
      <x:c r="H24" s="2"/>
      <x:c r="I24" s="2"/>
      <x:c r="J24" s="2"/>
      <x:c r="K24" s="2"/>
    </x:row>
    <x:row r="25" ht="25" customHeight="1">
      <x:c r="A25" s="19" t="str">
        <x:v>其他T0合计</x:v>
      </x:c>
      <x:c r="B25" s="20" t="str">
        <x:v>进页且有互动但未提单</x:v>
      </x:c>
      <x:c r="C25" s="22" t="n">
        <x:v>44938</x:v>
      </x:c>
      <x:c r="D25" s="22" t="n">
        <x:v>19336</x:v>
      </x:c>
      <x:c r="E25" s="24" t="n">
        <x:f>IF(C25&gt;0,D25/C25,"")</x:f>
        <x:v>0.43028172148293203</x:v>
      </x:c>
      <x:c r="F25" s="2"/>
      <x:c r="G25" s="2"/>
      <x:c r="H25" s="2"/>
      <x:c r="I25" s="2"/>
      <x:c r="J25" s="2"/>
      <x:c r="K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5" customHeight="1">
      <x:c r="A29" s="28" t="str">
        <x:v>标准化对比与用户聚类区间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58" customHeight="1">
      <x:c r="A30" s="14" t="str">
        <x:v>分析范围</x:v>
      </x:c>
      <x:c r="B30" s="15" t="str">
        <x:v>对照人群</x:v>
      </x:c>
      <x:c r="C30" s="15" t="str">
        <x:v>指标</x:v>
      </x:c>
      <x:c r="D30" s="15" t="str">
        <x:v>目标标准化值</x:v>
      </x:c>
      <x:c r="E30" s="15" t="str">
        <x:v>对照标准化值</x:v>
      </x:c>
      <x:c r="F30" s="15" t="str">
        <x:v>差值
（百分点或天）</x:v>
      </x:c>
      <x:c r="G30" s="15" t="str">
        <x:v>95%下限
（同差值单位）</x:v>
      </x:c>
      <x:c r="H30" s="15" t="str">
        <x:v>95%上限
（同差值单位）</x:v>
      </x:c>
      <x:c r="I30" s="15" t="str">
        <x:v>目标共同样本
覆盖率</x:v>
      </x:c>
      <x:c r="J30" s="15" t="str">
        <x:v>目标事件数</x:v>
      </x:c>
      <x:c r="K30" s="16" t="str">
        <x:v>对照事件数</x:v>
      </x:c>
    </x:row>
    <x:row r="31" ht="25" customHeight="1">
      <x:c r="A31" s="18" t="str">
        <x:v>月份与借款经验可比</x:v>
      </x:c>
      <x:c r="B31" s="17" t="str">
        <x:v>其他T0合计</x:v>
      </x:c>
      <x:c r="C31" s="17" t="str">
        <x:v>获额后当天有行为记录</x:v>
      </x:c>
      <x:c r="D31" s="23" t="n">
        <x:v>0.9132342188642456</x:v>
      </x:c>
      <x:c r="E31" s="23" t="n">
        <x:v>0.9277001200955761</x:v>
      </x:c>
      <x:c r="F31" s="34" t="n">
        <x:v>-1.4465901231330514</x:v>
      </x:c>
      <x:c r="G31" s="34" t="n">
        <x:v>-1.9961890117555312</x:v>
      </x:c>
      <x:c r="H31" s="34" t="n">
        <x:v>-0.8969912345105715</x:v>
      </x:c>
      <x:c r="I31" s="23" t="n">
        <x:v>1</x:v>
      </x:c>
      <x:c r="J31" s="21" t="n">
        <x:v>12309</x:v>
      </x:c>
      <x:c r="K31" s="21" t="n">
        <x:v>78773</x:v>
      </x:c>
    </x:row>
    <x:row r="32" ht="25" customHeight="1">
      <x:c r="A32" s="19" t="str">
        <x:v>月份与借款经验可比</x:v>
      </x:c>
      <x:c r="B32" s="20" t="str">
        <x:v>其他T0合计</x:v>
      </x:c>
      <x:c r="C32" s="20" t="str">
        <x:v>获额后当天进入借款页</x:v>
      </x:c>
      <x:c r="D32" s="24" t="n">
        <x:v>0.8410918839873264</x:v>
      </x:c>
      <x:c r="E32" s="24" t="n">
        <x:v>0.8677726010097846</x:v>
      </x:c>
      <x:c r="F32" s="35" t="n">
        <x:v>-2.6680717022458222</x:v>
      </x:c>
      <x:c r="G32" s="35" t="n">
        <x:v>-3.3827372493945447</x:v>
      </x:c>
      <x:c r="H32" s="35" t="n">
        <x:v>-1.9534061550971</x:v>
      </x:c>
      <x:c r="I32" s="24" t="n">
        <x:v>1</x:v>
      </x:c>
      <x:c r="J32" s="22" t="n">
        <x:v>12309</x:v>
      </x:c>
      <x:c r="K32" s="22" t="n">
        <x:v>78773</x:v>
      </x:c>
    </x:row>
    <x:row r="33" ht="25" customHeight="1">
      <x:c r="A33" s="18" t="str">
        <x:v>月份与借款经验可比</x:v>
      </x:c>
      <x:c r="B33" s="17" t="str">
        <x:v>其他T0合计</x:v>
      </x:c>
      <x:c r="C33" s="17" t="str">
        <x:v>金额选择或修改发生率</x:v>
      </x:c>
      <x:c r="D33" s="23" t="n">
        <x:v>0.4464213177349906</x:v>
      </x:c>
      <x:c r="E33" s="23" t="n">
        <x:v>0.3116439486401336</x:v>
      </x:c>
      <x:c r="F33" s="34" t="n">
        <x:v>13.4777369094857</x:v>
      </x:c>
      <x:c r="G33" s="34" t="n">
        <x:v>12.49302497590336</x:v>
      </x:c>
      <x:c r="H33" s="34" t="n">
        <x:v>14.462448843068037</x:v>
      </x:c>
      <x:c r="I33" s="23" t="n">
        <x:v>1</x:v>
      </x:c>
      <x:c r="J33" s="21" t="n">
        <x:v>12309</x:v>
      </x:c>
      <x:c r="K33" s="21" t="n">
        <x:v>78773</x:v>
      </x:c>
    </x:row>
    <x:row r="34" ht="25" customHeight="1">
      <x:c r="A34" s="19" t="str">
        <x:v>月份与借款经验可比</x:v>
      </x:c>
      <x:c r="B34" s="20" t="str">
        <x:v>其他T0合计</x:v>
      </x:c>
      <x:c r="C34" s="20" t="str">
        <x:v>期次选择发生率</x:v>
      </x:c>
      <x:c r="D34" s="24" t="n">
        <x:v>0.12373060362336502</x:v>
      </x:c>
      <x:c r="E34" s="24" t="n">
        <x:v>0.12456621974325799</x:v>
      </x:c>
      <x:c r="F34" s="35" t="n">
        <x:v>-0.08356161198929679</x:v>
      </x:c>
      <x:c r="G34" s="35" t="n">
        <x:v>-0.7266802804396599</x:v>
      </x:c>
      <x:c r="H34" s="35" t="n">
        <x:v>0.5595570564610663</x:v>
      </x:c>
      <x:c r="I34" s="24" t="n">
        <x:v>1</x:v>
      </x:c>
      <x:c r="J34" s="22" t="n">
        <x:v>12309</x:v>
      </x:c>
      <x:c r="K34" s="22" t="n">
        <x:v>78773</x:v>
      </x:c>
    </x:row>
    <x:row r="35" ht="25" customHeight="1">
      <x:c r="A35" s="18" t="str">
        <x:v>月份与借款经验可比</x:v>
      </x:c>
      <x:c r="B35" s="17" t="str">
        <x:v>其他T0合计</x:v>
      </x:c>
      <x:c r="C35" s="17" t="str">
        <x:v>还款计划详情发生率</x:v>
      </x:c>
      <x:c r="D35" s="23" t="n">
        <x:v>0.47022503858964987</x:v>
      </x:c>
      <x:c r="E35" s="23" t="n">
        <x:v>0.35577955644474357</x:v>
      </x:c>
      <x:c r="F35" s="34" t="n">
        <x:v>11.444548214490629</x:v>
      </x:c>
      <x:c r="G35" s="34" t="n">
        <x:v>10.451802063824086</x:v>
      </x:c>
      <x:c r="H35" s="34" t="n">
        <x:v>12.437294365157173</x:v>
      </x:c>
      <x:c r="I35" s="23" t="n">
        <x:v>1</x:v>
      </x:c>
      <x:c r="J35" s="21" t="n">
        <x:v>12309</x:v>
      </x:c>
      <x:c r="K35" s="21" t="n">
        <x:v>78773</x:v>
      </x:c>
    </x:row>
    <x:row r="36" ht="25" customHeight="1">
      <x:c r="A36" s="19" t="str">
        <x:v>月份与借款经验可比</x:v>
      </x:c>
      <x:c r="B36" s="20" t="str">
        <x:v>其他T0合计</x:v>
      </x:c>
      <x:c r="C36" s="20" t="str">
        <x:v>合同详情发生率</x:v>
      </x:c>
      <x:c r="D36" s="24" t="n">
        <x:v>0.013973515313997889</x:v>
      </x:c>
      <x:c r="E36" s="24" t="n">
        <x:v>0.021264523837785813</x:v>
      </x:c>
      <x:c r="F36" s="35" t="n">
        <x:v>-0.7291008523787924</x:v>
      </x:c>
      <x:c r="G36" s="35" t="n">
        <x:v>-0.9789380647000773</x:v>
      </x:c>
      <x:c r="H36" s="35" t="n">
        <x:v>-0.4792636400575076</x:v>
      </x:c>
      <x:c r="I36" s="24" t="n">
        <x:v>1</x:v>
      </x:c>
      <x:c r="J36" s="22" t="n">
        <x:v>12309</x:v>
      </x:c>
      <x:c r="K36" s="22" t="n">
        <x:v>78773</x:v>
      </x:c>
    </x:row>
    <x:row r="37" ht="25" customHeight="1">
      <x:c r="A37" s="18" t="str">
        <x:v>月份与借款经验可比</x:v>
      </x:c>
      <x:c r="B37" s="17" t="str">
        <x:v>其他T0合计</x:v>
      </x:c>
      <x:c r="C37" s="17" t="str">
        <x:v>优惠券相关发生率</x:v>
      </x:c>
      <x:c r="D37" s="23" t="n">
        <x:v>0</x:v>
      </x:c>
      <x:c r="E37" s="23" t="n">
        <x:v>0</x:v>
      </x:c>
      <x:c r="F37" s="34" t="n">
        <x:v>0</x:v>
      </x:c>
      <x:c r="G37" s="34" t="n">
        <x:v>0</x:v>
      </x:c>
      <x:c r="H37" s="34" t="n">
        <x:v>0</x:v>
      </x:c>
      <x:c r="I37" s="23" t="n">
        <x:v>1</x:v>
      </x:c>
      <x:c r="J37" s="21" t="n">
        <x:v>12309</x:v>
      </x:c>
      <x:c r="K37" s="21" t="n">
        <x:v>78773</x:v>
      </x:c>
    </x:row>
    <x:row r="38" ht="25" customHeight="1">
      <x:c r="A38" s="19" t="str">
        <x:v>月份与借款经验可比</x:v>
      </x:c>
      <x:c r="B38" s="20" t="str">
        <x:v>其他T0合计</x:v>
      </x:c>
      <x:c r="C38" s="20" t="str">
        <x:v>产品比较相关发生率</x:v>
      </x:c>
      <x:c r="D38" s="24" t="n">
        <x:v>0.06084978471037452</x:v>
      </x:c>
      <x:c r="E38" s="24" t="n">
        <x:v>0.040671115970624505</x:v>
      </x:c>
      <x:c r="F38" s="35" t="n">
        <x:v>2.0178668739750014</x:v>
      </x:c>
      <x:c r="G38" s="35" t="n">
        <x:v>1.5630685099497172</x:v>
      </x:c>
      <x:c r="H38" s="35" t="n">
        <x:v>2.472665238000286</x:v>
      </x:c>
      <x:c r="I38" s="24" t="n">
        <x:v>1</x:v>
      </x:c>
      <x:c r="J38" s="22" t="n">
        <x:v>12309</x:v>
      </x:c>
      <x:c r="K38" s="22" t="n">
        <x:v>78773</x:v>
      </x:c>
    </x:row>
    <x:row r="39" ht="25" customHeight="1">
      <x:c r="A39" s="18" t="str">
        <x:v>月份与借款经验可比</x:v>
      </x:c>
      <x:c r="B39" s="17" t="str">
        <x:v>其他T0合计</x:v>
      </x:c>
      <x:c r="C39" s="17" t="str">
        <x:v>当天实际提单率</x:v>
      </x:c>
      <x:c r="D39" s="23" t="n">
        <x:v>0.2486798277682996</x:v>
      </x:c>
      <x:c r="E39" s="23" t="n">
        <x:v>0.4447541120759058</x:v>
      </x:c>
      <x:c r="F39" s="34" t="n">
        <x:v>-19.60742843076062</x:v>
      </x:c>
      <x:c r="G39" s="34" t="n">
        <x:v>-20.5132356283732</x:v>
      </x:c>
      <x:c r="H39" s="34" t="n">
        <x:v>-18.701621233148042</x:v>
      </x:c>
      <x:c r="I39" s="23" t="n">
        <x:v>1</x:v>
      </x:c>
      <x:c r="J39" s="21" t="n">
        <x:v>12309</x:v>
      </x:c>
      <x:c r="K39" s="21" t="n">
        <x:v>78773</x:v>
      </x:c>
    </x:row>
    <x:row r="40" ht="25" customHeight="1">
      <x:c r="A40" s="19" t="str">
        <x:v>月份与借款经验可比</x:v>
      </x:c>
      <x:c r="B40" s="20" t="str">
        <x:v>其他T0合计</x:v>
      </x:c>
      <x:c r="C40" s="20" t="str">
        <x:v>获额前7天活跃天数</x:v>
      </x:c>
      <x:c r="D40" s="26" t="n">
        <x:v>3.0583313022991305</x:v>
      </x:c>
      <x:c r="E40" s="26" t="n">
        <x:v>2.661151358587868</x:v>
      </x:c>
      <x:c r="F40" s="35" t="n">
        <x:v>0.3971799437112624</x:v>
      </x:c>
      <x:c r="G40" s="35" t="n">
        <x:v>0.3615862656428921</x:v>
      </x:c>
      <x:c r="H40" s="35" t="n">
        <x:v>0.43277362177963274</x:v>
      </x:c>
      <x:c r="I40" s="24" t="n">
        <x:v>1</x:v>
      </x:c>
      <x:c r="J40" s="22" t="n">
        <x:v>12309</x:v>
      </x:c>
      <x:c r="K40" s="22" t="n">
        <x:v>78773</x:v>
      </x:c>
    </x:row>
    <x:row r="41" ht="25" customHeight="1">
      <x:c r="A41" s="18" t="str">
        <x:v>月份与借款经验可比</x:v>
      </x:c>
      <x:c r="B41" s="17" t="str">
        <x:v>其他T0合计</x:v>
      </x:c>
      <x:c r="C41" s="17" t="str">
        <x:v>获额前7天借款页活跃天数</x:v>
      </x:c>
      <x:c r="D41" s="25" t="n">
        <x:v>1.9459744902104152</x:v>
      </x:c>
      <x:c r="E41" s="25" t="n">
        <x:v>0.8503283706128317</x:v>
      </x:c>
      <x:c r="F41" s="34" t="n">
        <x:v>1.0956461195975835</x:v>
      </x:c>
      <x:c r="G41" s="34" t="n">
        <x:v>1.0597686283971297</x:v>
      </x:c>
      <x:c r="H41" s="34" t="n">
        <x:v>1.1315236107980373</x:v>
      </x:c>
      <x:c r="I41" s="23" t="n">
        <x:v>1</x:v>
      </x:c>
      <x:c r="J41" s="21" t="n">
        <x:v>12309</x:v>
      </x:c>
      <x:c r="K41" s="21" t="n">
        <x:v>78773</x:v>
      </x:c>
    </x:row>
    <x:row r="42" ht="25" customHeight="1">
      <x:c r="A42" s="19" t="str">
        <x:v>产品条件可比</x:v>
      </x:c>
      <x:c r="B42" s="20" t="str">
        <x:v>其他T0合计</x:v>
      </x:c>
      <x:c r="C42" s="20" t="str">
        <x:v>获额后当天有行为记录</x:v>
      </x:c>
      <x:c r="D42" s="24" t="n">
        <x:v>0.9150821304131409</x:v>
      </x:c>
      <x:c r="E42" s="24" t="n">
        <x:v>0.9216000170685853</x:v>
      </x:c>
      <x:c r="F42" s="35" t="n">
        <x:v>-0.6517886655444394</x:v>
      </x:c>
      <x:c r="G42" s="35" t="n">
        <x:v>-1.5038042199611754</x:v>
      </x:c>
      <x:c r="H42" s="35" t="n">
        <x:v>0.20022688887229664</x:v>
      </x:c>
      <x:c r="I42" s="24" t="n">
        <x:v>0.8160695426110975</x:v>
      </x:c>
      <x:c r="J42" s="22" t="n">
        <x:v>10045</x:v>
      </x:c>
      <x:c r="K42" s="22" t="n">
        <x:v>68573</x:v>
      </x:c>
    </x:row>
    <x:row r="43" ht="25" customHeight="1">
      <x:c r="A43" s="18" t="str">
        <x:v>产品条件可比</x:v>
      </x:c>
      <x:c r="B43" s="17" t="str">
        <x:v>其他T0合计</x:v>
      </x:c>
      <x:c r="C43" s="17" t="str">
        <x:v>获额后当天进入借款页</x:v>
      </x:c>
      <x:c r="D43" s="23" t="n">
        <x:v>0.8447984071677451</x:v>
      </x:c>
      <x:c r="E43" s="23" t="n">
        <x:v>0.852604332419876</x:v>
      </x:c>
      <x:c r="F43" s="34" t="n">
        <x:v>-0.7805925252130863</x:v>
      </x:c>
      <x:c r="G43" s="34" t="n">
        <x:v>-1.9053021164242474</x:v>
      </x:c>
      <x:c r="H43" s="34" t="n">
        <x:v>0.34411706599807473</x:v>
      </x:c>
      <x:c r="I43" s="23" t="n">
        <x:v>0.8160695426110975</x:v>
      </x:c>
      <x:c r="J43" s="21" t="n">
        <x:v>10045</x:v>
      </x:c>
      <x:c r="K43" s="21" t="n">
        <x:v>68573</x:v>
      </x:c>
    </x:row>
    <x:row r="44" ht="25" customHeight="1">
      <x:c r="A44" s="19" t="str">
        <x:v>产品条件可比</x:v>
      </x:c>
      <x:c r="B44" s="20" t="str">
        <x:v>其他T0合计</x:v>
      </x:c>
      <x:c r="C44" s="20" t="str">
        <x:v>金额选择或修改发生率</x:v>
      </x:c>
      <x:c r="D44" s="24" t="n">
        <x:v>0.44868093578894974</x:v>
      </x:c>
      <x:c r="E44" s="24" t="n">
        <x:v>0.3930637331369281</x:v>
      </x:c>
      <x:c r="F44" s="35" t="n">
        <x:v>5.561720265202164</x:v>
      </x:c>
      <x:c r="G44" s="35" t="n">
        <x:v>4.017658948615871</x:v>
      </x:c>
      <x:c r="H44" s="35" t="n">
        <x:v>7.105781581788456</x:v>
      </x:c>
      <x:c r="I44" s="24" t="n">
        <x:v>0.8160695426110975</x:v>
      </x:c>
      <x:c r="J44" s="22" t="n">
        <x:v>10045</x:v>
      </x:c>
      <x:c r="K44" s="22" t="n">
        <x:v>68573</x:v>
      </x:c>
    </x:row>
    <x:row r="45" ht="25" customHeight="1">
      <x:c r="A45" s="18" t="str">
        <x:v>产品条件可比</x:v>
      </x:c>
      <x:c r="B45" s="17" t="str">
        <x:v>其他T0合计</x:v>
      </x:c>
      <x:c r="C45" s="17" t="str">
        <x:v>期次选择发生率</x:v>
      </x:c>
      <x:c r="D45" s="23" t="n">
        <x:v>0.1258337481333997</x:v>
      </x:c>
      <x:c r="E45" s="23" t="n">
        <x:v>0.12690674985943526</x:v>
      </x:c>
      <x:c r="F45" s="34" t="n">
        <x:v>-0.10730017260355551</x:v>
      </x:c>
      <x:c r="G45" s="34" t="n">
        <x:v>-1.1189691604550789</x:v>
      </x:c>
      <x:c r="H45" s="34" t="n">
        <x:v>0.904368815247968</x:v>
      </x:c>
      <x:c r="I45" s="23" t="n">
        <x:v>0.8160695426110975</x:v>
      </x:c>
      <x:c r="J45" s="21" t="n">
        <x:v>10045</x:v>
      </x:c>
      <x:c r="K45" s="21" t="n">
        <x:v>68573</x:v>
      </x:c>
    </x:row>
    <x:row r="46" ht="25" customHeight="1">
      <x:c r="A46" s="19" t="str">
        <x:v>产品条件可比</x:v>
      </x:c>
      <x:c r="B46" s="20" t="str">
        <x:v>其他T0合计</x:v>
      </x:c>
      <x:c r="C46" s="20" t="str">
        <x:v>还款计划详情发生率</x:v>
      </x:c>
      <x:c r="D46" s="24" t="n">
        <x:v>0.4756595321055252</x:v>
      </x:c>
      <x:c r="E46" s="24" t="n">
        <x:v>0.4186735237640402</x:v>
      </x:c>
      <x:c r="F46" s="35" t="n">
        <x:v>5.698600834148499</x:v>
      </x:c>
      <x:c r="G46" s="35" t="n">
        <x:v>4.1485233114848485</x:v>
      </x:c>
      <x:c r="H46" s="35" t="n">
        <x:v>7.24867835681215</x:v>
      </x:c>
      <x:c r="I46" s="24" t="n">
        <x:v>0.8160695426110975</x:v>
      </x:c>
      <x:c r="J46" s="22" t="n">
        <x:v>10045</x:v>
      </x:c>
      <x:c r="K46" s="22" t="n">
        <x:v>68573</x:v>
      </x:c>
    </x:row>
    <x:row r="47" ht="25" customHeight="1">
      <x:c r="A47" s="18" t="str">
        <x:v>产品条件可比</x:v>
      </x:c>
      <x:c r="B47" s="17" t="str">
        <x:v>其他T0合计</x:v>
      </x:c>
      <x:c r="C47" s="17" t="str">
        <x:v>合同详情发生率</x:v>
      </x:c>
      <x:c r="D47" s="23" t="n">
        <x:v>0.015131906421105026</x:v>
      </x:c>
      <x:c r="E47" s="23" t="n">
        <x:v>0.015576080348645717</x:v>
      </x:c>
      <x:c r="F47" s="34" t="n">
        <x:v>-0.04441739275406909</x:v>
      </x:c>
      <x:c r="G47" s="34" t="n">
        <x:v>-0.43128996709386036</x:v>
      </x:c>
      <x:c r="H47" s="34" t="n">
        <x:v>0.3424551815857222</x:v>
      </x:c>
      <x:c r="I47" s="23" t="n">
        <x:v>0.8160695426110975</x:v>
      </x:c>
      <x:c r="J47" s="21" t="n">
        <x:v>10045</x:v>
      </x:c>
      <x:c r="K47" s="21" t="n">
        <x:v>68573</x:v>
      </x:c>
    </x:row>
    <x:row r="48" ht="25" customHeight="1">
      <x:c r="A48" s="19" t="str">
        <x:v>产品条件可比</x:v>
      </x:c>
      <x:c r="B48" s="20" t="str">
        <x:v>其他T0合计</x:v>
      </x:c>
      <x:c r="C48" s="20" t="str">
        <x:v>优惠券相关发生率</x:v>
      </x:c>
      <x:c r="D48" s="24" t="n">
        <x:v>0</x:v>
      </x:c>
      <x:c r="E48" s="24" t="n">
        <x:v>0</x:v>
      </x:c>
      <x:c r="F48" s="35" t="n">
        <x:v>0</x:v>
      </x:c>
      <x:c r="G48" s="35" t="n">
        <x:v>0</x:v>
      </x:c>
      <x:c r="H48" s="35" t="n">
        <x:v>0</x:v>
      </x:c>
      <x:c r="I48" s="24" t="n">
        <x:v>0.8160695426110975</x:v>
      </x:c>
      <x:c r="J48" s="22" t="n">
        <x:v>10045</x:v>
      </x:c>
      <x:c r="K48" s="22" t="n">
        <x:v>68573</x:v>
      </x:c>
    </x:row>
    <x:row r="49" ht="25" customHeight="1">
      <x:c r="A49" s="18" t="str">
        <x:v>产品条件可比</x:v>
      </x:c>
      <x:c r="B49" s="17" t="str">
        <x:v>其他T0合计</x:v>
      </x:c>
      <x:c r="C49" s="17" t="str">
        <x:v>产品比较相关发生率</x:v>
      </x:c>
      <x:c r="D49" s="23" t="n">
        <x:v>0.06281732205077153</x:v>
      </x:c>
      <x:c r="E49" s="23" t="n">
        <x:v>0.0509410689537751</x:v>
      </x:c>
      <x:c r="F49" s="34" t="n">
        <x:v>1.1876253096996434</x:v>
      </x:c>
      <x:c r="G49" s="34" t="n">
        <x:v>0.46876169498234865</x:v>
      </x:c>
      <x:c r="H49" s="34" t="n">
        <x:v>1.9064889244169385</x:v>
      </x:c>
      <x:c r="I49" s="23" t="n">
        <x:v>0.8160695426110975</x:v>
      </x:c>
      <x:c r="J49" s="21" t="n">
        <x:v>10045</x:v>
      </x:c>
      <x:c r="K49" s="21" t="n">
        <x:v>68573</x:v>
      </x:c>
    </x:row>
    <x:row r="50" ht="25" customHeight="1">
      <x:c r="A50" s="19" t="str">
        <x:v>产品条件可比</x:v>
      </x:c>
      <x:c r="B50" s="20" t="str">
        <x:v>其他T0合计</x:v>
      </x:c>
      <x:c r="C50" s="20" t="str">
        <x:v>当天实际提单率</x:v>
      </x:c>
      <x:c r="D50" s="24" t="n">
        <x:v>0.2533598805375809</x:v>
      </x:c>
      <x:c r="E50" s="24" t="n">
        <x:v>0.34005716727075114</x:v>
      </x:c>
      <x:c r="F50" s="35" t="n">
        <x:v>-8.669728673317023</x:v>
      </x:c>
      <x:c r="G50" s="35" t="n">
        <x:v>-10.085727778205769</x:v>
      </x:c>
      <x:c r="H50" s="35" t="n">
        <x:v>-7.2537295684282785</x:v>
      </x:c>
      <x:c r="I50" s="24" t="n">
        <x:v>0.8160695426110975</x:v>
      </x:c>
      <x:c r="J50" s="22" t="n">
        <x:v>10045</x:v>
      </x:c>
      <x:c r="K50" s="22" t="n">
        <x:v>68573</x:v>
      </x:c>
    </x:row>
    <x:row r="51" ht="25" customHeight="1">
      <x:c r="A51" s="18" t="str">
        <x:v>产品条件可比</x:v>
      </x:c>
      <x:c r="B51" s="17" t="str">
        <x:v>其他T0合计</x:v>
      </x:c>
      <x:c r="C51" s="17" t="str">
        <x:v>获额前7天活跃天数</x:v>
      </x:c>
      <x:c r="D51" s="25" t="n">
        <x:v>3.0341463414634147</x:v>
      </x:c>
      <x:c r="E51" s="25" t="n">
        <x:v>2.899715044744218</x:v>
      </x:c>
      <x:c r="F51" s="34" t="n">
        <x:v>0.1344312967191965</x:v>
      </x:c>
      <x:c r="G51" s="34" t="n">
        <x:v>0.07973217214297734</x:v>
      </x:c>
      <x:c r="H51" s="34" t="n">
        <x:v>0.18913042129541568</x:v>
      </x:c>
      <x:c r="I51" s="23" t="n">
        <x:v>0.8160695426110975</x:v>
      </x:c>
      <x:c r="J51" s="21" t="n">
        <x:v>10045</x:v>
      </x:c>
      <x:c r="K51" s="21" t="n">
        <x:v>68573</x:v>
      </x:c>
    </x:row>
    <x:row r="52" ht="25" customHeight="1">
      <x:c r="A52" s="19" t="str">
        <x:v>产品条件可比</x:v>
      </x:c>
      <x:c r="B52" s="20" t="str">
        <x:v>其他T0合计</x:v>
      </x:c>
      <x:c r="C52" s="20" t="str">
        <x:v>获额前7天借款页活跃天数</x:v>
      </x:c>
      <x:c r="D52" s="26" t="n">
        <x:v>1.9034345445495269</x:v>
      </x:c>
      <x:c r="E52" s="26" t="n">
        <x:v>1.2196595411145363</x:v>
      </x:c>
      <x:c r="F52" s="35" t="n">
        <x:v>0.6837750034349905</x:v>
      </x:c>
      <x:c r="G52" s="35" t="n">
        <x:v>0.6282477081443826</x:v>
      </x:c>
      <x:c r="H52" s="35" t="n">
        <x:v>0.7393022987255985</x:v>
      </x:c>
      <x:c r="I52" s="24" t="n">
        <x:v>0.8160695426110975</x:v>
      </x:c>
      <x:c r="J52" s="22" t="n">
        <x:v>10045</x:v>
      </x:c>
      <x:c r="K52" s="22" t="n">
        <x:v>68573</x:v>
      </x:c>
    </x:row>
    <x:row r="53" ht="25" customHeight="1">
      <x:c r="A53" s="18" t="str">
        <x:v>月份与借款经验可比</x:v>
      </x:c>
      <x:c r="B53" s="17" t="str">
        <x:v>提额0至3000</x:v>
      </x:c>
      <x:c r="C53" s="17" t="str">
        <x:v>获额后当天有行为记录</x:v>
      </x:c>
      <x:c r="D53" s="23" t="n">
        <x:v>0.9132342188642456</x:v>
      </x:c>
      <x:c r="E53" s="23" t="n">
        <x:v>0.9232557049392489</x:v>
      </x:c>
      <x:c r="F53" s="34" t="n">
        <x:v>-1.0021486075003305</x:v>
      </x:c>
      <x:c r="G53" s="34" t="n">
        <x:v>-1.5996624254787088</x:v>
      </x:c>
      <x:c r="H53" s="34" t="n">
        <x:v>-0.40463478952195203</x:v>
      </x:c>
      <x:c r="I53" s="23" t="n">
        <x:v>1</x:v>
      </x:c>
      <x:c r="J53" s="21" t="n">
        <x:v>12309</x:v>
      </x:c>
      <x:c r="K53" s="21" t="n">
        <x:v>39532</x:v>
      </x:c>
    </x:row>
    <x:row r="54" ht="25" customHeight="1">
      <x:c r="A54" s="19" t="str">
        <x:v>月份与借款经验可比</x:v>
      </x:c>
      <x:c r="B54" s="20" t="str">
        <x:v>提额0至3000</x:v>
      </x:c>
      <x:c r="C54" s="20" t="str">
        <x:v>获额后当天进入借款页</x:v>
      </x:c>
      <x:c r="D54" s="24" t="n">
        <x:v>0.8410918839873264</x:v>
      </x:c>
      <x:c r="E54" s="24" t="n">
        <x:v>0.860188623464915</x:v>
      </x:c>
      <x:c r="F54" s="35" t="n">
        <x:v>-1.909673947758861</x:v>
      </x:c>
      <x:c r="G54" s="35" t="n">
        <x:v>-2.6867550125176005</x:v>
      </x:c>
      <x:c r="H54" s="35" t="n">
        <x:v>-1.1325928830001213</x:v>
      </x:c>
      <x:c r="I54" s="24" t="n">
        <x:v>1</x:v>
      </x:c>
      <x:c r="J54" s="22" t="n">
        <x:v>12309</x:v>
      </x:c>
      <x:c r="K54" s="22" t="n">
        <x:v>39532</x:v>
      </x:c>
    </x:row>
    <x:row r="55" ht="25" customHeight="1">
      <x:c r="A55" s="18" t="str">
        <x:v>月份与借款经验可比</x:v>
      </x:c>
      <x:c r="B55" s="17" t="str">
        <x:v>提额0至3000</x:v>
      </x:c>
      <x:c r="C55" s="17" t="str">
        <x:v>金额选择或修改发生率</x:v>
      </x:c>
      <x:c r="D55" s="23" t="n">
        <x:v>0.4464213177349906</x:v>
      </x:c>
      <x:c r="E55" s="23" t="n">
        <x:v>0.33950063218687143</x:v>
      </x:c>
      <x:c r="F55" s="34" t="n">
        <x:v>10.692068554811918</x:v>
      </x:c>
      <x:c r="G55" s="34" t="n">
        <x:v>9.628487153171317</x:v>
      </x:c>
      <x:c r="H55" s="34" t="n">
        <x:v>11.755649956452519</x:v>
      </x:c>
      <x:c r="I55" s="23" t="n">
        <x:v>1</x:v>
      </x:c>
      <x:c r="J55" s="21" t="n">
        <x:v>12309</x:v>
      </x:c>
      <x:c r="K55" s="21" t="n">
        <x:v>39532</x:v>
      </x:c>
    </x:row>
    <x:row r="56" ht="25" customHeight="1">
      <x:c r="A56" s="19" t="str">
        <x:v>月份与借款经验可比</x:v>
      </x:c>
      <x:c r="B56" s="20" t="str">
        <x:v>提额0至3000</x:v>
      </x:c>
      <x:c r="C56" s="20" t="str">
        <x:v>期次选择发生率</x:v>
      </x:c>
      <x:c r="D56" s="24" t="n">
        <x:v>0.12373060362336502</x:v>
      </x:c>
      <x:c r="E56" s="24" t="n">
        <x:v>0.13451010351021286</x:v>
      </x:c>
      <x:c r="F56" s="35" t="n">
        <x:v>-1.0779499886847843</x:v>
      </x:c>
      <x:c r="G56" s="35" t="n">
        <x:v>-1.7780263993436032</x:v>
      </x:c>
      <x:c r="H56" s="35" t="n">
        <x:v>-0.3778735780259655</x:v>
      </x:c>
      <x:c r="I56" s="24" t="n">
        <x:v>1</x:v>
      </x:c>
      <x:c r="J56" s="22" t="n">
        <x:v>12309</x:v>
      </x:c>
      <x:c r="K56" s="22" t="n">
        <x:v>39532</x:v>
      </x:c>
    </x:row>
    <x:row r="57" ht="25" customHeight="1">
      <x:c r="A57" s="18" t="str">
        <x:v>月份与借款经验可比</x:v>
      </x:c>
      <x:c r="B57" s="17" t="str">
        <x:v>提额0至3000</x:v>
      </x:c>
      <x:c r="C57" s="17" t="str">
        <x:v>还款计划详情发生率</x:v>
      </x:c>
      <x:c r="D57" s="23" t="n">
        <x:v>0.47022503858964987</x:v>
      </x:c>
      <x:c r="E57" s="23" t="n">
        <x:v>0.40381960701765374</x:v>
      </x:c>
      <x:c r="F57" s="34" t="n">
        <x:v>6.640543157199613</x:v>
      </x:c>
      <x:c r="G57" s="34" t="n">
        <x:v>5.563539578368946</x:v>
      </x:c>
      <x:c r="H57" s="34" t="n">
        <x:v>7.717546736030282</x:v>
      </x:c>
      <x:c r="I57" s="23" t="n">
        <x:v>1</x:v>
      </x:c>
      <x:c r="J57" s="21" t="n">
        <x:v>12309</x:v>
      </x:c>
      <x:c r="K57" s="21" t="n">
        <x:v>39532</x:v>
      </x:c>
    </x:row>
    <x:row r="58" ht="25" customHeight="1">
      <x:c r="A58" s="19" t="str">
        <x:v>月份与借款经验可比</x:v>
      </x:c>
      <x:c r="B58" s="20" t="str">
        <x:v>提额0至3000</x:v>
      </x:c>
      <x:c r="C58" s="20" t="str">
        <x:v>合同详情发生率</x:v>
      </x:c>
      <x:c r="D58" s="24" t="n">
        <x:v>0.013973515313997889</x:v>
      </x:c>
      <x:c r="E58" s="24" t="n">
        <x:v>0.019588524915604928</x:v>
      </x:c>
      <x:c r="F58" s="35" t="n">
        <x:v>-0.5615009601607039</x:v>
      </x:c>
      <x:c r="G58" s="35" t="n">
        <x:v>-0.8441429626840673</x:v>
      </x:c>
      <x:c r="H58" s="35" t="n">
        <x:v>-0.2788589576373404</x:v>
      </x:c>
      <x:c r="I58" s="24" t="n">
        <x:v>1</x:v>
      </x:c>
      <x:c r="J58" s="22" t="n">
        <x:v>12309</x:v>
      </x:c>
      <x:c r="K58" s="22" t="n">
        <x:v>39532</x:v>
      </x:c>
    </x:row>
    <x:row r="59" ht="25" customHeight="1">
      <x:c r="A59" s="18" t="str">
        <x:v>月份与借款经验可比</x:v>
      </x:c>
      <x:c r="B59" s="17" t="str">
        <x:v>提额0至3000</x:v>
      </x:c>
      <x:c r="C59" s="17" t="str">
        <x:v>优惠券相关发生率</x:v>
      </x:c>
      <x:c r="D59" s="23" t="n">
        <x:v>0</x:v>
      </x:c>
      <x:c r="E59" s="23" t="n">
        <x:v>0</x:v>
      </x:c>
      <x:c r="F59" s="34" t="n">
        <x:v>0</x:v>
      </x:c>
      <x:c r="G59" s="34" t="n">
        <x:v>0</x:v>
      </x:c>
      <x:c r="H59" s="34" t="n">
        <x:v>0</x:v>
      </x:c>
      <x:c r="I59" s="23" t="n">
        <x:v>1</x:v>
      </x:c>
      <x:c r="J59" s="21" t="n">
        <x:v>12309</x:v>
      </x:c>
      <x:c r="K59" s="21" t="n">
        <x:v>39532</x:v>
      </x:c>
    </x:row>
    <x:row r="60" ht="25" customHeight="1">
      <x:c r="A60" s="19" t="str">
        <x:v>月份与借款经验可比</x:v>
      </x:c>
      <x:c r="B60" s="20" t="str">
        <x:v>提额0至3000</x:v>
      </x:c>
      <x:c r="C60" s="20" t="str">
        <x:v>产品比较相关发生率</x:v>
      </x:c>
      <x:c r="D60" s="24" t="n">
        <x:v>0.06084978471037452</x:v>
      </x:c>
      <x:c r="E60" s="24" t="n">
        <x:v>0.061713789742045104</x:v>
      </x:c>
      <x:c r="F60" s="35" t="n">
        <x:v>-0.08640050316705838</x:v>
      </x:c>
      <x:c r="G60" s="35" t="n">
        <x:v>-0.5973372582104205</x:v>
      </x:c>
      <x:c r="H60" s="35" t="n">
        <x:v>0.42453625187630367</x:v>
      </x:c>
      <x:c r="I60" s="24" t="n">
        <x:v>1</x:v>
      </x:c>
      <x:c r="J60" s="22" t="n">
        <x:v>12309</x:v>
      </x:c>
      <x:c r="K60" s="22" t="n">
        <x:v>39532</x:v>
      </x:c>
    </x:row>
    <x:row r="61" ht="25" customHeight="1">
      <x:c r="A61" s="18" t="str">
        <x:v>月份与借款经验可比</x:v>
      </x:c>
      <x:c r="B61" s="17" t="str">
        <x:v>提额0至3000</x:v>
      </x:c>
      <x:c r="C61" s="17" t="str">
        <x:v>当天实际提单率</x:v>
      </x:c>
      <x:c r="D61" s="23" t="n">
        <x:v>0.2486798277682996</x:v>
      </x:c>
      <x:c r="E61" s="23" t="n">
        <x:v>0.4315339720827257</x:v>
      </x:c>
      <x:c r="F61" s="34" t="n">
        <x:v>-18.28541443144261</x:v>
      </x:c>
      <x:c r="G61" s="34" t="n">
        <x:v>-19.27719051214861</x:v>
      </x:c>
      <x:c r="H61" s="34" t="n">
        <x:v>-17.293638350736607</x:v>
      </x:c>
      <x:c r="I61" s="23" t="n">
        <x:v>1</x:v>
      </x:c>
      <x:c r="J61" s="21" t="n">
        <x:v>12309</x:v>
      </x:c>
      <x:c r="K61" s="21" t="n">
        <x:v>39532</x:v>
      </x:c>
    </x:row>
    <x:row r="62" ht="25" customHeight="1">
      <x:c r="A62" s="19" t="str">
        <x:v>月份与借款经验可比</x:v>
      </x:c>
      <x:c r="B62" s="20" t="str">
        <x:v>提额0至3000</x:v>
      </x:c>
      <x:c r="C62" s="20" t="str">
        <x:v>获额前7天活跃天数</x:v>
      </x:c>
      <x:c r="D62" s="26" t="n">
        <x:v>3.0583313022991305</x:v>
      </x:c>
      <x:c r="E62" s="26" t="n">
        <x:v>2.6832161958424043</x:v>
      </x:c>
      <x:c r="F62" s="35" t="n">
        <x:v>0.3751151064567262</x:v>
      </x:c>
      <x:c r="G62" s="35" t="n">
        <x:v>0.33756986107327247</x:v>
      </x:c>
      <x:c r="H62" s="35" t="n">
        <x:v>0.4126603518401799</x:v>
      </x:c>
      <x:c r="I62" s="24" t="n">
        <x:v>1</x:v>
      </x:c>
      <x:c r="J62" s="22" t="n">
        <x:v>12309</x:v>
      </x:c>
      <x:c r="K62" s="22" t="n">
        <x:v>39532</x:v>
      </x:c>
    </x:row>
    <x:row r="63" ht="25" customHeight="1">
      <x:c r="A63" s="18" t="str">
        <x:v>月份与借款经验可比</x:v>
      </x:c>
      <x:c r="B63" s="17" t="str">
        <x:v>提额0至3000</x:v>
      </x:c>
      <x:c r="C63" s="17" t="str">
        <x:v>获额前7天借款页活跃天数</x:v>
      </x:c>
      <x:c r="D63" s="25" t="n">
        <x:v>1.9459744902104152</x:v>
      </x:c>
      <x:c r="E63" s="25" t="n">
        <x:v>1.0345057310122863</x:v>
      </x:c>
      <x:c r="F63" s="34" t="n">
        <x:v>0.911468759198129</x:v>
      </x:c>
      <x:c r="G63" s="34" t="n">
        <x:v>0.8737906710224927</x:v>
      </x:c>
      <x:c r="H63" s="34" t="n">
        <x:v>0.9491468473737652</x:v>
      </x:c>
      <x:c r="I63" s="23" t="n">
        <x:v>1</x:v>
      </x:c>
      <x:c r="J63" s="21" t="n">
        <x:v>12309</x:v>
      </x:c>
      <x:c r="K63" s="21" t="n">
        <x:v>39532</x:v>
      </x:c>
    </x:row>
    <x:row r="64" ht="25" customHeight="1">
      <x:c r="A64" s="19" t="str">
        <x:v>产品条件可比</x:v>
      </x:c>
      <x:c r="B64" s="20" t="str">
        <x:v>提额0至3000</x:v>
      </x:c>
      <x:c r="C64" s="20" t="str">
        <x:v>获额后当天有行为记录</x:v>
      </x:c>
      <x:c r="D64" s="24" t="n">
        <x:v>0.9152258784160624</x:v>
      </x:c>
      <x:c r="E64" s="24" t="n">
        <x:v>0.9208116504561948</x:v>
      </x:c>
      <x:c r="F64" s="35" t="n">
        <x:v>-0.5585772040132442</x:v>
      </x:c>
      <x:c r="G64" s="35" t="n">
        <x:v>-1.5296309862556787</x:v>
      </x:c>
      <x:c r="H64" s="35" t="n">
        <x:v>0.41247657822919037</x:v>
      </x:c>
      <x:c r="I64" s="24" t="n">
        <x:v>0.7283288650580876</x:v>
      </x:c>
      <x:c r="J64" s="22" t="n">
        <x:v>8965</x:v>
      </x:c>
      <x:c r="K64" s="22" t="n">
        <x:v>35008</x:v>
      </x:c>
    </x:row>
    <x:row r="65" ht="25" customHeight="1">
      <x:c r="A65" s="18" t="str">
        <x:v>产品条件可比</x:v>
      </x:c>
      <x:c r="B65" s="17" t="str">
        <x:v>提额0至3000</x:v>
      </x:c>
      <x:c r="C65" s="17" t="str">
        <x:v>获额后当天进入借款页</x:v>
      </x:c>
      <x:c r="D65" s="23" t="n">
        <x:v>0.8447295036252092</x:v>
      </x:c>
      <x:c r="E65" s="23" t="n">
        <x:v>0.8497751589220178</x:v>
      </x:c>
      <x:c r="F65" s="34" t="n">
        <x:v>-0.5045655296808671</x:v>
      </x:c>
      <x:c r="G65" s="34" t="n">
        <x:v>-1.7877605625240642</x:v>
      </x:c>
      <x:c r="H65" s="34" t="n">
        <x:v>0.7786295031623301</x:v>
      </x:c>
      <x:c r="I65" s="23" t="n">
        <x:v>0.7283288650580876</x:v>
      </x:c>
      <x:c r="J65" s="21" t="n">
        <x:v>8965</x:v>
      </x:c>
      <x:c r="K65" s="21" t="n">
        <x:v>35008</x:v>
      </x:c>
    </x:row>
    <x:row r="66" ht="25" customHeight="1">
      <x:c r="A66" s="19" t="str">
        <x:v>产品条件可比</x:v>
      </x:c>
      <x:c r="B66" s="20" t="str">
        <x:v>提额0至3000</x:v>
      </x:c>
      <x:c r="C66" s="20" t="str">
        <x:v>金额选择或修改发生率</x:v>
      </x:c>
      <x:c r="D66" s="24" t="n">
        <x:v>0.4431678750697155</x:v>
      </x:c>
      <x:c r="E66" s="24" t="n">
        <x:v>0.4038706104050074</x:v>
      </x:c>
      <x:c r="F66" s="35" t="n">
        <x:v>3.929726466470812</x:v>
      </x:c>
      <x:c r="G66" s="35" t="n">
        <x:v>2.19145468711623</x:v>
      </x:c>
      <x:c r="H66" s="35" t="n">
        <x:v>5.667998245825394</x:v>
      </x:c>
      <x:c r="I66" s="24" t="n">
        <x:v>0.7283288650580876</x:v>
      </x:c>
      <x:c r="J66" s="22" t="n">
        <x:v>8965</x:v>
      </x:c>
      <x:c r="K66" s="22" t="n">
        <x:v>35008</x:v>
      </x:c>
    </x:row>
    <x:row r="67" ht="25" customHeight="1">
      <x:c r="A67" s="18" t="str">
        <x:v>产品条件可比</x:v>
      </x:c>
      <x:c r="B67" s="17" t="str">
        <x:v>提额0至3000</x:v>
      </x:c>
      <x:c r="C67" s="17" t="str">
        <x:v>期次选择发生率</x:v>
      </x:c>
      <x:c r="D67" s="23" t="n">
        <x:v>0.1289459007250418</x:v>
      </x:c>
      <x:c r="E67" s="23" t="n">
        <x:v>0.1367322958233122</x:v>
      </x:c>
      <x:c r="F67" s="34" t="n">
        <x:v>-0.7786395098270393</x:v>
      </x:c>
      <x:c r="G67" s="34" t="n">
        <x:v>-1.978700445925332</x:v>
      </x:c>
      <x:c r="H67" s="34" t="n">
        <x:v>0.42142142627125334</x:v>
      </x:c>
      <x:c r="I67" s="23" t="n">
        <x:v>0.7283288650580876</x:v>
      </x:c>
      <x:c r="J67" s="21" t="n">
        <x:v>8965</x:v>
      </x:c>
      <x:c r="K67" s="21" t="n">
        <x:v>35008</x:v>
      </x:c>
    </x:row>
    <x:row r="68" ht="25" customHeight="1">
      <x:c r="A68" s="19" t="str">
        <x:v>产品条件可比</x:v>
      </x:c>
      <x:c r="B68" s="20" t="str">
        <x:v>提额0至3000</x:v>
      </x:c>
      <x:c r="C68" s="20" t="str">
        <x:v>还款计划详情发生率</x:v>
      </x:c>
      <x:c r="D68" s="24" t="n">
        <x:v>0.47272727272727266</x:v>
      </x:c>
      <x:c r="E68" s="24" t="n">
        <x:v>0.4249041348970399</x:v>
      </x:c>
      <x:c r="F68" s="35" t="n">
        <x:v>4.7823137830232785</x:v>
      </x:c>
      <x:c r="G68" s="35" t="n">
        <x:v>3.0188073282094714</x:v>
      </x:c>
      <x:c r="H68" s="35" t="n">
        <x:v>6.545820237837086</x:v>
      </x:c>
      <x:c r="I68" s="24" t="n">
        <x:v>0.7283288650580876</x:v>
      </x:c>
      <x:c r="J68" s="22" t="n">
        <x:v>8965</x:v>
      </x:c>
      <x:c r="K68" s="22" t="n">
        <x:v>35008</x:v>
      </x:c>
    </x:row>
    <x:row r="69" ht="25" customHeight="1">
      <x:c r="A69" s="18" t="str">
        <x:v>产品条件可比</x:v>
      </x:c>
      <x:c r="B69" s="17" t="str">
        <x:v>提额0至3000</x:v>
      </x:c>
      <x:c r="C69" s="17" t="str">
        <x:v>合同详情发生率</x:v>
      </x:c>
      <x:c r="D69" s="23" t="n">
        <x:v>0.01517010596765198</x:v>
      </x:c>
      <x:c r="E69" s="23" t="n">
        <x:v>0.014845439260041851</x:v>
      </x:c>
      <x:c r="F69" s="34" t="n">
        <x:v>0.03246667076101297</x:v>
      </x:c>
      <x:c r="G69" s="34" t="n">
        <x:v>-0.41745184522384743</x:v>
      </x:c>
      <x:c r="H69" s="34" t="n">
        <x:v>0.4823851867458734</x:v>
      </x:c>
      <x:c r="I69" s="23" t="n">
        <x:v>0.7283288650580876</x:v>
      </x:c>
      <x:c r="J69" s="21" t="n">
        <x:v>8965</x:v>
      </x:c>
      <x:c r="K69" s="21" t="n">
        <x:v>35008</x:v>
      </x:c>
    </x:row>
    <x:row r="70" ht="25" customHeight="1">
      <x:c r="A70" s="19" t="str">
        <x:v>产品条件可比</x:v>
      </x:c>
      <x:c r="B70" s="20" t="str">
        <x:v>提额0至3000</x:v>
      </x:c>
      <x:c r="C70" s="20" t="str">
        <x:v>优惠券相关发生率</x:v>
      </x:c>
      <x:c r="D70" s="24" t="n">
        <x:v>0</x:v>
      </x:c>
      <x:c r="E70" s="24" t="n">
        <x:v>0</x:v>
      </x:c>
      <x:c r="F70" s="35" t="n">
        <x:v>0</x:v>
      </x:c>
      <x:c r="G70" s="35" t="n">
        <x:v>0</x:v>
      </x:c>
      <x:c r="H70" s="35" t="n">
        <x:v>0</x:v>
      </x:c>
      <x:c r="I70" s="24" t="n">
        <x:v>0.7283288650580876</x:v>
      </x:c>
      <x:c r="J70" s="22" t="n">
        <x:v>8965</x:v>
      </x:c>
      <x:c r="K70" s="22" t="n">
        <x:v>35008</x:v>
      </x:c>
    </x:row>
    <x:row r="71" ht="25" customHeight="1">
      <x:c r="A71" s="18" t="str">
        <x:v>产品条件可比</x:v>
      </x:c>
      <x:c r="B71" s="17" t="str">
        <x:v>提额0至3000</x:v>
      </x:c>
      <x:c r="C71" s="17" t="str">
        <x:v>产品比较相关发生率</x:v>
      </x:c>
      <x:c r="D71" s="23" t="n">
        <x:v>0.06469604015616286</x:v>
      </x:c>
      <x:c r="E71" s="23" t="n">
        <x:v>0.058642051483009855</x:v>
      </x:c>
      <x:c r="F71" s="34" t="n">
        <x:v>0.6053988673153001</x:v>
      </x:c>
      <x:c r="G71" s="34" t="n">
        <x:v>-0.20250284119786507</x:v>
      </x:c>
      <x:c r="H71" s="34" t="n">
        <x:v>1.4133005758284654</x:v>
      </x:c>
      <x:c r="I71" s="23" t="n">
        <x:v>0.7283288650580876</x:v>
      </x:c>
      <x:c r="J71" s="21" t="n">
        <x:v>8965</x:v>
      </x:c>
      <x:c r="K71" s="21" t="n">
        <x:v>35008</x:v>
      </x:c>
    </x:row>
    <x:row r="72" ht="25" customHeight="1">
      <x:c r="A72" s="19" t="str">
        <x:v>产品条件可比</x:v>
      </x:c>
      <x:c r="B72" s="20" t="str">
        <x:v>提额0至3000</x:v>
      </x:c>
      <x:c r="C72" s="20" t="str">
        <x:v>当天实际提单率</x:v>
      </x:c>
      <x:c r="D72" s="24" t="n">
        <x:v>0.2520914668153932</x:v>
      </x:c>
      <x:c r="E72" s="24" t="n">
        <x:v>0.3234894274995785</x:v>
      </x:c>
      <x:c r="F72" s="35" t="n">
        <x:v>-7.13979606841853</x:v>
      </x:c>
      <x:c r="G72" s="35" t="n">
        <x:v>-8.73823454435212</x:v>
      </x:c>
      <x:c r="H72" s="35" t="n">
        <x:v>-5.541357592484941</x:v>
      </x:c>
      <x:c r="I72" s="24" t="n">
        <x:v>0.7283288650580876</x:v>
      </x:c>
      <x:c r="J72" s="22" t="n">
        <x:v>8965</x:v>
      </x:c>
      <x:c r="K72" s="22" t="n">
        <x:v>35008</x:v>
      </x:c>
    </x:row>
    <x:row r="73" ht="25" customHeight="1">
      <x:c r="A73" s="18" t="str">
        <x:v>产品条件可比</x:v>
      </x:c>
      <x:c r="B73" s="17" t="str">
        <x:v>提额0至3000</x:v>
      </x:c>
      <x:c r="C73" s="17" t="str">
        <x:v>获额前7天活跃天数</x:v>
      </x:c>
      <x:c r="D73" s="25" t="n">
        <x:v>3.032571109871723</x:v>
      </x:c>
      <x:c r="E73" s="25" t="n">
        <x:v>2.9223909637955656</x:v>
      </x:c>
      <x:c r="F73" s="34" t="n">
        <x:v>0.11018014607615756</x:v>
      </x:c>
      <x:c r="G73" s="34" t="n">
        <x:v>0.04765348588316021</x:v>
      </x:c>
      <x:c r="H73" s="34" t="n">
        <x:v>0.1727068062691549</x:v>
      </x:c>
      <x:c r="I73" s="23" t="n">
        <x:v>0.7283288650580876</x:v>
      </x:c>
      <x:c r="J73" s="21" t="n">
        <x:v>8965</x:v>
      </x:c>
      <x:c r="K73" s="21" t="n">
        <x:v>35008</x:v>
      </x:c>
    </x:row>
    <x:row r="74" ht="25" customHeight="1">
      <x:c r="A74" s="19" t="str">
        <x:v>产品条件可比</x:v>
      </x:c>
      <x:c r="B74" s="20" t="str">
        <x:v>提额0至3000</x:v>
      </x:c>
      <x:c r="C74" s="20" t="str">
        <x:v>获额前7天借款页活跃天数</x:v>
      </x:c>
      <x:c r="D74" s="26" t="n">
        <x:v>1.894366982710541</x:v>
      </x:c>
      <x:c r="E74" s="26" t="n">
        <x:v>1.3161226179714602</x:v>
      </x:c>
      <x:c r="F74" s="35" t="n">
        <x:v>0.5782443647390807</x:v>
      </x:c>
      <x:c r="G74" s="35" t="n">
        <x:v>0.5135404853185962</x:v>
      </x:c>
      <x:c r="H74" s="35" t="n">
        <x:v>0.6429482441595652</x:v>
      </x:c>
      <x:c r="I74" s="24" t="n">
        <x:v>0.7283288650580876</x:v>
      </x:c>
      <x:c r="J74" s="22" t="n">
        <x:v>8965</x:v>
      </x:c>
      <x:c r="K74" s="22" t="n">
        <x:v>35008</x:v>
      </x:c>
    </x:row>
    <x:row r="75" ht="25" customHeight="1">
      <x:c r="A75" s="18" t="str">
        <x:v>仅当天未提单_产品条件可比</x:v>
      </x:c>
      <x:c r="B75" s="17" t="str">
        <x:v>其他T0合计</x:v>
      </x:c>
      <x:c r="C75" s="17" t="str">
        <x:v>获额后当天有行为记录</x:v>
      </x:c>
      <x:c r="D75" s="23" t="n">
        <x:v>0.8874152223059532</x:v>
      </x:c>
      <x:c r="E75" s="23" t="n">
        <x:v>0.8787902124054904</x:v>
      </x:c>
      <x:c r="F75" s="34" t="n">
        <x:v>0.8625009900462777</x:v>
      </x:c>
      <x:c r="G75" s="34" t="n">
        <x:v>-0.4192941934540921</x:v>
      </x:c>
      <x:c r="H75" s="34" t="n">
        <x:v>2.1442961735466475</x:v>
      </x:c>
      <x:c r="I75" s="23" t="n">
        <x:v>0.7174524221453287</x:v>
      </x:c>
      <x:c r="J75" s="21" t="n">
        <x:v>6635</x:v>
      </x:c>
      <x:c r="K75" s="21" t="n">
        <x:v>36152</x:v>
      </x:c>
    </x:row>
    <x:row r="76" ht="25" customHeight="1">
      <x:c r="A76" s="19" t="str">
        <x:v>仅当天未提单_产品条件可比</x:v>
      </x:c>
      <x:c r="B76" s="20" t="str">
        <x:v>其他T0合计</x:v>
      </x:c>
      <x:c r="C76" s="20" t="str">
        <x:v>获额后当天进入借款页</x:v>
      </x:c>
      <x:c r="D76" s="24" t="n">
        <x:v>0.7941220798794273</x:v>
      </x:c>
      <x:c r="E76" s="24" t="n">
        <x:v>0.7744212305965034</x:v>
      </x:c>
      <x:c r="F76" s="35" t="n">
        <x:v>1.9700849282923927</x:v>
      </x:c>
      <x:c r="G76" s="35" t="n">
        <x:v>0.3211899986236874</x:v>
      </x:c>
      <x:c r="H76" s="35" t="n">
        <x:v>3.618979857961098</x:v>
      </x:c>
      <x:c r="I76" s="24" t="n">
        <x:v>0.7174524221453287</x:v>
      </x:c>
      <x:c r="J76" s="22" t="n">
        <x:v>6635</x:v>
      </x:c>
      <x:c r="K76" s="22" t="n">
        <x:v>36152</x:v>
      </x:c>
    </x:row>
    <x:row r="77" ht="25" customHeight="1">
      <x:c r="A77" s="18" t="str">
        <x:v>仅当天未提单_产品条件可比</x:v>
      </x:c>
      <x:c r="B77" s="17" t="str">
        <x:v>其他T0合计</x:v>
      </x:c>
      <x:c r="C77" s="17" t="str">
        <x:v>金额选择或修改发生率</x:v>
      </x:c>
      <x:c r="D77" s="23" t="n">
        <x:v>0.36729464958553126</x:v>
      </x:c>
      <x:c r="E77" s="23" t="n">
        <x:v>0.30601907009730994</x:v>
      </x:c>
      <x:c r="F77" s="34" t="n">
        <x:v>6.127557948822132</x:v>
      </x:c>
      <x:c r="G77" s="34" t="n">
        <x:v>4.265469696247255</x:v>
      </x:c>
      <x:c r="H77" s="34" t="n">
        <x:v>7.989646201397009</x:v>
      </x:c>
      <x:c r="I77" s="23" t="n">
        <x:v>0.7174524221453287</x:v>
      </x:c>
      <x:c r="J77" s="21" t="n">
        <x:v>6635</x:v>
      </x:c>
      <x:c r="K77" s="21" t="n">
        <x:v>36152</x:v>
      </x:c>
    </x:row>
    <x:row r="78" ht="25" customHeight="1">
      <x:c r="A78" s="19" t="str">
        <x:v>仅当天未提单_产品条件可比</x:v>
      </x:c>
      <x:c r="B78" s="20" t="str">
        <x:v>其他T0合计</x:v>
      </x:c>
      <x:c r="C78" s="20" t="str">
        <x:v>期次选择发生率</x:v>
      </x:c>
      <x:c r="D78" s="24" t="n">
        <x:v>0.10474755086661643</x:v>
      </x:c>
      <x:c r="E78" s="24" t="n">
        <x:v>0.10034284545761339</x:v>
      </x:c>
      <x:c r="F78" s="35" t="n">
        <x:v>0.44047054090030346</x:v>
      </x:c>
      <x:c r="G78" s="35" t="n">
        <x:v>-0.7177058803770113</x:v>
      </x:c>
      <x:c r="H78" s="35" t="n">
        <x:v>1.5986469621776183</x:v>
      </x:c>
      <x:c r="I78" s="24" t="n">
        <x:v>0.7174524221453287</x:v>
      </x:c>
      <x:c r="J78" s="22" t="n">
        <x:v>6635</x:v>
      </x:c>
      <x:c r="K78" s="22" t="n">
        <x:v>36152</x:v>
      </x:c>
    </x:row>
    <x:row r="79" ht="25" customHeight="1">
      <x:c r="A79" s="18" t="str">
        <x:v>仅当天未提单_产品条件可比</x:v>
      </x:c>
      <x:c r="B79" s="17" t="str">
        <x:v>其他T0合计</x:v>
      </x:c>
      <x:c r="C79" s="17" t="str">
        <x:v>还款计划详情发生率</x:v>
      </x:c>
      <x:c r="D79" s="23" t="n">
        <x:v>0.39698568198944995</x:v>
      </x:c>
      <x:c r="E79" s="23" t="n">
        <x:v>0.32237202175174867</x:v>
      </x:c>
      <x:c r="F79" s="34" t="n">
        <x:v>7.461366023770127</x:v>
      </x:c>
      <x:c r="G79" s="34" t="n">
        <x:v>5.5677475320570995</x:v>
      </x:c>
      <x:c r="H79" s="34" t="n">
        <x:v>9.354984515483157</x:v>
      </x:c>
      <x:c r="I79" s="23" t="n">
        <x:v>0.7174524221453287</x:v>
      </x:c>
      <x:c r="J79" s="21" t="n">
        <x:v>6635</x:v>
      </x:c>
      <x:c r="K79" s="21" t="n">
        <x:v>36152</x:v>
      </x:c>
    </x:row>
    <x:row r="80" ht="25" customHeight="1">
      <x:c r="A80" s="19" t="str">
        <x:v>仅当天未提单_产品条件可比</x:v>
      </x:c>
      <x:c r="B80" s="20" t="str">
        <x:v>其他T0合计</x:v>
      </x:c>
      <x:c r="C80" s="20" t="str">
        <x:v>合同详情发生率</x:v>
      </x:c>
      <x:c r="D80" s="24" t="n">
        <x:v>0.004973624717407687</x:v>
      </x:c>
      <x:c r="E80" s="24" t="n">
        <x:v>0.0027330721713528573</x:v>
      </x:c>
      <x:c r="F80" s="35" t="n">
        <x:v>0.224055254605483</x:v>
      </x:c>
      <x:c r="G80" s="35" t="n">
        <x:v>0.027541375418267115</x:v>
      </x:c>
      <x:c r="H80" s="35" t="n">
        <x:v>0.42056913379269895</x:v>
      </x:c>
      <x:c r="I80" s="24" t="n">
        <x:v>0.7174524221453287</x:v>
      </x:c>
      <x:c r="J80" s="22" t="n">
        <x:v>6635</x:v>
      </x:c>
      <x:c r="K80" s="22" t="n">
        <x:v>36152</x:v>
      </x:c>
    </x:row>
    <x:row r="81" ht="25" customHeight="1">
      <x:c r="A81" s="18" t="str">
        <x:v>仅当天未提单_产品条件可比</x:v>
      </x:c>
      <x:c r="B81" s="17" t="str">
        <x:v>其他T0合计</x:v>
      </x:c>
      <x:c r="C81" s="17" t="str">
        <x:v>优惠券相关发生率</x:v>
      </x:c>
      <x:c r="D81" s="23" t="n">
        <x:v>0</x:v>
      </x:c>
      <x:c r="E81" s="23" t="n">
        <x:v>0</x:v>
      </x:c>
      <x:c r="F81" s="34" t="n">
        <x:v>0</x:v>
      </x:c>
      <x:c r="G81" s="34" t="n">
        <x:v>0</x:v>
      </x:c>
      <x:c r="H81" s="34" t="n">
        <x:v>0</x:v>
      </x:c>
      <x:c r="I81" s="23" t="n">
        <x:v>0.7174524221453287</x:v>
      </x:c>
      <x:c r="J81" s="21" t="n">
        <x:v>6635</x:v>
      </x:c>
      <x:c r="K81" s="21" t="n">
        <x:v>36152</x:v>
      </x:c>
    </x:row>
    <x:row r="82" ht="25" customHeight="1">
      <x:c r="A82" s="19" t="str">
        <x:v>仅当天未提单_产品条件可比</x:v>
      </x:c>
      <x:c r="B82" s="20" t="str">
        <x:v>其他T0合计</x:v>
      </x:c>
      <x:c r="C82" s="20" t="str">
        <x:v>产品比较相关发生率</x:v>
      </x:c>
      <x:c r="D82" s="24" t="n">
        <x:v>0.06827430293896006</x:v>
      </x:c>
      <x:c r="E82" s="24" t="n">
        <x:v>0.0531917589625741</x:v>
      </x:c>
      <x:c r="F82" s="35" t="n">
        <x:v>1.5082543976385956</x:v>
      </x:c>
      <x:c r="G82" s="35" t="n">
        <x:v>0.5796805441882441</x:v>
      </x:c>
      <x:c r="H82" s="35" t="n">
        <x:v>2.4368282510889467</x:v>
      </x:c>
      <x:c r="I82" s="24" t="n">
        <x:v>0.7174524221453287</x:v>
      </x:c>
      <x:c r="J82" s="22" t="n">
        <x:v>6635</x:v>
      </x:c>
      <x:c r="K82" s="22" t="n">
        <x:v>36152</x:v>
      </x:c>
    </x:row>
    <x:row r="83" ht="25" customHeight="1">
      <x:c r="A83" s="18" t="str">
        <x:v>仅当天未提单_产品条件可比</x:v>
      </x:c>
      <x:c r="B83" s="17" t="str">
        <x:v>其他T0合计</x:v>
      </x:c>
      <x:c r="C83" s="17" t="str">
        <x:v>当天实际提单率</x:v>
      </x:c>
      <x:c r="D83" s="23" t="n">
        <x:v>0</x:v>
      </x:c>
      <x:c r="E83" s="23" t="n">
        <x:v>0</x:v>
      </x:c>
      <x:c r="F83" s="34" t="n">
        <x:v>0</x:v>
      </x:c>
      <x:c r="G83" s="34" t="n">
        <x:v>0</x:v>
      </x:c>
      <x:c r="H83" s="34" t="n">
        <x:v>0</x:v>
      </x:c>
      <x:c r="I83" s="23" t="n">
        <x:v>0.7174524221453287</x:v>
      </x:c>
      <x:c r="J83" s="21" t="n">
        <x:v>6635</x:v>
      </x:c>
      <x:c r="K83" s="21" t="n">
        <x:v>36152</x:v>
      </x:c>
    </x:row>
    <x:row r="84" ht="25" customHeight="1">
      <x:c r="A84" s="19" t="str">
        <x:v>仅当天未提单_产品条件可比</x:v>
      </x:c>
      <x:c r="B84" s="20" t="str">
        <x:v>其他T0合计</x:v>
      </x:c>
      <x:c r="C84" s="20" t="str">
        <x:v>获额前7天活跃天数</x:v>
      </x:c>
      <x:c r="D84" s="26" t="n">
        <x:v>3.0385832705350415</x:v>
      </x:c>
      <x:c r="E84" s="26" t="n">
        <x:v>2.8349263320945406</x:v>
      </x:c>
      <x:c r="F84" s="35" t="n">
        <x:v>0.20365693844050092</x:v>
      </x:c>
      <x:c r="G84" s="35" t="n">
        <x:v>0.13449844382240694</x:v>
      </x:c>
      <x:c r="H84" s="35" t="n">
        <x:v>0.2728154330585949</x:v>
      </x:c>
      <x:c r="I84" s="24" t="n">
        <x:v>0.7174524221453287</x:v>
      </x:c>
      <x:c r="J84" s="22" t="n">
        <x:v>6635</x:v>
      </x:c>
      <x:c r="K84" s="22" t="n">
        <x:v>36152</x:v>
      </x:c>
    </x:row>
    <x:row r="85" ht="25" customHeight="1">
      <x:c r="A85" s="18" t="str">
        <x:v>仅当天未提单_产品条件可比</x:v>
      </x:c>
      <x:c r="B85" s="17" t="str">
        <x:v>其他T0合计</x:v>
      </x:c>
      <x:c r="C85" s="17" t="str">
        <x:v>获额前7天借款页活跃天数</x:v>
      </x:c>
      <x:c r="D85" s="25" t="n">
        <x:v>2.1668425018839486</x:v>
      </x:c>
      <x:c r="E85" s="25" t="n">
        <x:v>1.4347886672138894</x:v>
      </x:c>
      <x:c r="F85" s="34" t="n">
        <x:v>0.7320538346700591</x:v>
      </x:c>
      <x:c r="G85" s="34" t="n">
        <x:v>0.6603937664294709</x:v>
      </x:c>
      <x:c r="H85" s="34" t="n">
        <x:v>0.8037139029106474</x:v>
      </x:c>
      <x:c r="I85" s="23" t="n">
        <x:v>0.7174524221453287</x:v>
      </x:c>
      <x:c r="J85" s="21" t="n">
        <x:v>6635</x:v>
      </x:c>
      <x:c r="K85" s="21" t="n">
        <x:v>36152</x:v>
      </x:c>
    </x:row>
    <x:row r="86" ht="25" customHeight="1">
      <x:c r="A86" s="19" t="str">
        <x:v>每用户最后一次T0_产品条件可比</x:v>
      </x:c>
      <x:c r="B86" s="20" t="str">
        <x:v>其他T0合计</x:v>
      </x:c>
      <x:c r="C86" s="20" t="str">
        <x:v>获额后当天有行为记录</x:v>
      </x:c>
      <x:c r="D86" s="24" t="n">
        <x:v>0.9076371657016818</x:v>
      </x:c>
      <x:c r="E86" s="24" t="n">
        <x:v>0.9152845209106831</x:v>
      </x:c>
      <x:c r="F86" s="35" t="n">
        <x:v>-0.7647355209001283</x:v>
      </x:c>
      <x:c r="G86" s="35" t="n">
        <x:v>-1.842329266161869</x:v>
      </x:c>
      <x:c r="H86" s="35" t="n">
        <x:v>0.3128582243616127</x:v>
      </x:c>
      <x:c r="I86" s="24" t="n">
        <x:v>0.8427044609665427</x:v>
      </x:c>
      <x:c r="J86" s="22" t="n">
        <x:v>7254</x:v>
      </x:c>
      <x:c r="K86" s="22" t="n">
        <x:v>41286</x:v>
      </x:c>
    </x:row>
    <x:row r="87" ht="25" customHeight="1">
      <x:c r="A87" s="18" t="str">
        <x:v>每用户最后一次T0_产品条件可比</x:v>
      </x:c>
      <x:c r="B87" s="17" t="str">
        <x:v>其他T0合计</x:v>
      </x:c>
      <x:c r="C87" s="17" t="str">
        <x:v>获额后当天进入借款页</x:v>
      </x:c>
      <x:c r="D87" s="23" t="n">
        <x:v>0.830300523848911</x:v>
      </x:c>
      <x:c r="E87" s="23" t="n">
        <x:v>0.8390974860064551</x:v>
      </x:c>
      <x:c r="F87" s="34" t="n">
        <x:v>-0.8796962157544108</x:v>
      </x:c>
      <x:c r="G87" s="34" t="n">
        <x:v>-2.2984280011941607</x:v>
      </x:c>
      <x:c r="H87" s="34" t="n">
        <x:v>0.539035569685339</x:v>
      </x:c>
      <x:c r="I87" s="23" t="n">
        <x:v>0.8427044609665427</x:v>
      </x:c>
      <x:c r="J87" s="21" t="n">
        <x:v>7254</x:v>
      </x:c>
      <x:c r="K87" s="21" t="n">
        <x:v>41286</x:v>
      </x:c>
    </x:row>
    <x:row r="88" ht="25" customHeight="1">
      <x:c r="A88" s="19" t="str">
        <x:v>每用户最后一次T0_产品条件可比</x:v>
      </x:c>
      <x:c r="B88" s="20" t="str">
        <x:v>其他T0合计</x:v>
      </x:c>
      <x:c r="C88" s="20" t="str">
        <x:v>金额选择或修改发生率</x:v>
      </x:c>
      <x:c r="D88" s="24" t="n">
        <x:v>0.41425420457678525</x:v>
      </x:c>
      <x:c r="E88" s="24" t="n">
        <x:v>0.3710321937048022</x:v>
      </x:c>
      <x:c r="F88" s="35" t="n">
        <x:v>4.322201087198302</x:v>
      </x:c>
      <x:c r="G88" s="35" t="n">
        <x:v>2.4856270201959956</x:v>
      </x:c>
      <x:c r="H88" s="35" t="n">
        <x:v>6.158775154200608</x:v>
      </x:c>
      <x:c r="I88" s="24" t="n">
        <x:v>0.8427044609665427</x:v>
      </x:c>
      <x:c r="J88" s="22" t="n">
        <x:v>7254</x:v>
      </x:c>
      <x:c r="K88" s="22" t="n">
        <x:v>41286</x:v>
      </x:c>
    </x:row>
    <x:row r="89" ht="25" customHeight="1">
      <x:c r="A89" s="18" t="str">
        <x:v>每用户最后一次T0_产品条件可比</x:v>
      </x:c>
      <x:c r="B89" s="17" t="str">
        <x:v>其他T0合计</x:v>
      </x:c>
      <x:c r="C89" s="17" t="str">
        <x:v>期次选择发生率</x:v>
      </x:c>
      <x:c r="D89" s="23" t="n">
        <x:v>0.12048524951750758</x:v>
      </x:c>
      <x:c r="E89" s="23" t="n">
        <x:v>0.12533166614418015</x:v>
      </x:c>
      <x:c r="F89" s="34" t="n">
        <x:v>-0.4846416626672567</x:v>
      </x:c>
      <x:c r="G89" s="34" t="n">
        <x:v>-1.6927947308173468</x:v>
      </x:c>
      <x:c r="H89" s="34" t="n">
        <x:v>0.7235114054828333</x:v>
      </x:c>
      <x:c r="I89" s="23" t="n">
        <x:v>0.8427044609665427</x:v>
      </x:c>
      <x:c r="J89" s="21" t="n">
        <x:v>7254</x:v>
      </x:c>
      <x:c r="K89" s="21" t="n">
        <x:v>41286</x:v>
      </x:c>
    </x:row>
    <x:row r="90" ht="25" customHeight="1">
      <x:c r="A90" s="19" t="str">
        <x:v>每用户最后一次T0_产品条件可比</x:v>
      </x:c>
      <x:c r="B90" s="20" t="str">
        <x:v>其他T0合计</x:v>
      </x:c>
      <x:c r="C90" s="20" t="str">
        <x:v>还款计划详情发生率</x:v>
      </x:c>
      <x:c r="D90" s="24" t="n">
        <x:v>0.4463744141163496</x:v>
      </x:c>
      <x:c r="E90" s="24" t="n">
        <x:v>0.4014636426175267</x:v>
      </x:c>
      <x:c r="F90" s="35" t="n">
        <x:v>4.491077149882289</x:v>
      </x:c>
      <x:c r="G90" s="35" t="n">
        <x:v>2.6374102885159108</x:v>
      </x:c>
      <x:c r="H90" s="35" t="n">
        <x:v>6.344744011248666</x:v>
      </x:c>
      <x:c r="I90" s="24" t="n">
        <x:v>0.8427044609665427</x:v>
      </x:c>
      <x:c r="J90" s="22" t="n">
        <x:v>7254</x:v>
      </x:c>
      <x:c r="K90" s="22" t="n">
        <x:v>41286</x:v>
      </x:c>
    </x:row>
    <x:row r="91" ht="25" customHeight="1">
      <x:c r="A91" s="18" t="str">
        <x:v>每用户最后一次T0_产品条件可比</x:v>
      </x:c>
      <x:c r="B91" s="17" t="str">
        <x:v>其他T0合计</x:v>
      </x:c>
      <x:c r="C91" s="17" t="str">
        <x:v>合同详情发生率</x:v>
      </x:c>
      <x:c r="D91" s="23" t="n">
        <x:v>0.0137854976564654</x:v>
      </x:c>
      <x:c r="E91" s="23" t="n">
        <x:v>0.012764489966637451</x:v>
      </x:c>
      <x:c r="F91" s="34" t="n">
        <x:v>0.10210076898279491</x:v>
      </x:c>
      <x:c r="G91" s="34" t="n">
        <x:v>-0.3272884983446186</x:v>
      </x:c>
      <x:c r="H91" s="34" t="n">
        <x:v>0.5314900363102084</x:v>
      </x:c>
      <x:c r="I91" s="23" t="n">
        <x:v>0.8427044609665427</x:v>
      </x:c>
      <x:c r="J91" s="21" t="n">
        <x:v>7254</x:v>
      </x:c>
      <x:c r="K91" s="21" t="n">
        <x:v>41286</x:v>
      </x:c>
    </x:row>
    <x:row r="92" ht="25" customHeight="1">
      <x:c r="A92" s="19" t="str">
        <x:v>每用户最后一次T0_产品条件可比</x:v>
      </x:c>
      <x:c r="B92" s="20" t="str">
        <x:v>其他T0合计</x:v>
      </x:c>
      <x:c r="C92" s="20" t="str">
        <x:v>优惠券相关发生率</x:v>
      </x:c>
      <x:c r="D92" s="24" t="n">
        <x:v>0</x:v>
      </x:c>
      <x:c r="E92" s="24" t="n">
        <x:v>0</x:v>
      </x:c>
      <x:c r="F92" s="35" t="n">
        <x:v>0</x:v>
      </x:c>
      <x:c r="G92" s="35" t="n">
        <x:v>0</x:v>
      </x:c>
      <x:c r="H92" s="35" t="n">
        <x:v>0</x:v>
      </x:c>
      <x:c r="I92" s="24" t="n">
        <x:v>0.8427044609665427</x:v>
      </x:c>
      <x:c r="J92" s="22" t="n">
        <x:v>7254</x:v>
      </x:c>
      <x:c r="K92" s="22" t="n">
        <x:v>41286</x:v>
      </x:c>
    </x:row>
    <x:row r="93" ht="25" customHeight="1">
      <x:c r="A93" s="18" t="str">
        <x:v>每用户最后一次T0_产品条件可比</x:v>
      </x:c>
      <x:c r="B93" s="17" t="str">
        <x:v>其他T0合计</x:v>
      </x:c>
      <x:c r="C93" s="17" t="str">
        <x:v>产品比较相关发生率</x:v>
      </x:c>
      <x:c r="D93" s="23" t="n">
        <x:v>0.062310449407223606</x:v>
      </x:c>
      <x:c r="E93" s="23" t="n">
        <x:v>0.05361543692595307</x:v>
      </x:c>
      <x:c r="F93" s="34" t="n">
        <x:v>0.8695012481270539</x:v>
      </x:c>
      <x:c r="G93" s="34" t="n">
        <x:v>-0.012312106882489057</x:v>
      </x:c>
      <x:c r="H93" s="34" t="n">
        <x:v>1.751314603136597</x:v>
      </x:c>
      <x:c r="I93" s="23" t="n">
        <x:v>0.8427044609665427</x:v>
      </x:c>
      <x:c r="J93" s="21" t="n">
        <x:v>7254</x:v>
      </x:c>
      <x:c r="K93" s="21" t="n">
        <x:v>41286</x:v>
      </x:c>
    </x:row>
    <x:row r="94" ht="25" customHeight="1">
      <x:c r="A94" s="19" t="str">
        <x:v>每用户最后一次T0_产品条件可比</x:v>
      </x:c>
      <x:c r="B94" s="20" t="str">
        <x:v>其他T0合计</x:v>
      </x:c>
      <x:c r="C94" s="20" t="str">
        <x:v>当天实际提单率</x:v>
      </x:c>
      <x:c r="D94" s="24" t="n">
        <x:v>0.21574303832368347</x:v>
      </x:c>
      <x:c r="E94" s="24" t="n">
        <x:v>0.3017133868481771</x:v>
      </x:c>
      <x:c r="F94" s="35" t="n">
        <x:v>-8.597034852449365</x:v>
      </x:c>
      <x:c r="G94" s="35" t="n">
        <x:v>-10.22388617034203</x:v>
      </x:c>
      <x:c r="H94" s="35" t="n">
        <x:v>-6.970183534556698</x:v>
      </x:c>
      <x:c r="I94" s="24" t="n">
        <x:v>0.8427044609665427</x:v>
      </x:c>
      <x:c r="J94" s="22" t="n">
        <x:v>7254</x:v>
      </x:c>
      <x:c r="K94" s="22" t="n">
        <x:v>41286</x:v>
      </x:c>
    </x:row>
    <x:row r="95" ht="25" customHeight="1">
      <x:c r="A95" s="18" t="str">
        <x:v>每用户最后一次T0_产品条件可比</x:v>
      </x:c>
      <x:c r="B95" s="17" t="str">
        <x:v>其他T0合计</x:v>
      </x:c>
      <x:c r="C95" s="17" t="str">
        <x:v>获额前7天活跃天数</x:v>
      </x:c>
      <x:c r="D95" s="25" t="n">
        <x:v>3.082850840915357</x:v>
      </x:c>
      <x:c r="E95" s="25" t="n">
        <x:v>2.91205662113578</x:v>
      </x:c>
      <x:c r="F95" s="34" t="n">
        <x:v>0.1707942197795771</x:v>
      </x:c>
      <x:c r="G95" s="34" t="n">
        <x:v>0.10514249539278281</x:v>
      </x:c>
      <x:c r="H95" s="34" t="n">
        <x:v>0.23644594416637138</x:v>
      </x:c>
      <x:c r="I95" s="23" t="n">
        <x:v>0.8427044609665427</x:v>
      </x:c>
      <x:c r="J95" s="21" t="n">
        <x:v>7254</x:v>
      </x:c>
      <x:c r="K95" s="21" t="n">
        <x:v>41286</x:v>
      </x:c>
    </x:row>
    <x:row r="96" ht="25" customHeight="1">
      <x:c r="A96" s="19" t="str">
        <x:v>每用户最后一次T0_产品条件可比</x:v>
      </x:c>
      <x:c r="B96" s="20" t="str">
        <x:v>其他T0合计</x:v>
      </x:c>
      <x:c r="C96" s="20" t="str">
        <x:v>获额前7天借款页活跃天数</x:v>
      </x:c>
      <x:c r="D96" s="26" t="n">
        <x:v>2.034601599117728</x:v>
      </x:c>
      <x:c r="E96" s="26" t="n">
        <x:v>1.3095161873970171</x:v>
      </x:c>
      <x:c r="F96" s="35" t="n">
        <x:v>0.7250854117207111</x:v>
      </x:c>
      <x:c r="G96" s="35" t="n">
        <x:v>0.6569304114708521</x:v>
      </x:c>
      <x:c r="H96" s="35" t="n">
        <x:v>0.79324041197057</x:v>
      </x:c>
      <x:c r="I96" s="24" t="n">
        <x:v>0.8427044609665427</x:v>
      </x:c>
      <x:c r="J96" s="22" t="n">
        <x:v>7254</x:v>
      </x:c>
      <x:c r="K96" s="22" t="n">
        <x:v>41286</x:v>
      </x:c>
    </x:row>
    <x:row r="97" ht="2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 ht="2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 ht="2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 ht="2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  <x:row r="101" ht="2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</x:row>
    <x:row r="102" ht="2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</x:row>
    <x:row r="103" ht="2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</x:row>
    <x:row r="104" ht="2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</x:row>
    <x:row r="105" ht="2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</x:row>
    <x:row r="106" ht="2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</x:row>
    <x:row r="107" ht="2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</x:row>
    <x:row r="108" ht="2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</x:row>
    <x:row r="109" ht="2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</x:row>
    <x:row r="110" ht="2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</x:row>
    <x:row r="111" ht="2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0839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22" hidden="0" customWidth="1"/>
  </x:cols>
  <x:sheetData>
    <x:row r="1" ht="25" customHeight="1">
      <x:c r="A1" s="2"/>
      <x:c r="B1" s="2"/>
    </x:row>
    <x:row r="2" ht="25" customHeight="1">
      <x:c r="A2" s="3" t="str">
        <x:v>统计口径与质量核对</x:v>
      </x:c>
      <x:c r="B2" s="2"/>
    </x:row>
    <x:row r="3" ht="25" customHeight="1">
      <x:c r="A3" s="4" t="str">
        <x:v>发生率按事件计算。比例为空表示没有有效分母或该项未定义，不补为0。</x:v>
      </x:c>
      <x:c r="B3" s="2"/>
    </x:row>
    <x:row r="4" ht="25" customHeight="1">
      <x:c r="A4" s="5"/>
      <x:c r="B4" s="5"/>
    </x:row>
    <x:row r="5" ht="58" customHeight="1">
      <x:c r="A5" s="14" t="str">
        <x:v>项目</x:v>
      </x:c>
      <x:c r="B5" s="16" t="str">
        <x:v>定义</x:v>
      </x:c>
    </x:row>
    <x:row r="6" ht="38" customHeight="1">
      <x:c r="A6" s="2" t="str">
        <x:v>统计日期</x:v>
      </x:c>
      <x:c r="B6" s="36" t="str">
        <x:v>2026-06-01至2026-09-30，包含6—9月；业务时区America/Belize。</x:v>
      </x:c>
    </x:row>
    <x:row r="7" ht="38" customHeight="1">
      <x:c r="A7" s="2" t="str">
        <x:v>参考样本</x:v>
      </x:c>
      <x:c r="B7" s="36" t="str">
        <x:v>指定的额度五档、利率尾号分布版。目标12,309次获额、3,061次当天提单，与参考表一致。</x:v>
      </x:c>
    </x:row>
    <x:row r="8" ht="38" customHeight="1">
      <x:c r="A8" s="2" t="str">
        <x:v>T0条件</x:v>
      </x:c>
      <x:c r="B8" s="36" t="str">
        <x:v>结清当天、结清之后重新通过获额；结清后无其他在途订单，前后额度和前笔放款金额均&gt;0。</x:v>
      </x:c>
    </x:row>
    <x:row r="9" ht="38" customHeight="1">
      <x:c r="A9" s="2" t="str">
        <x:v>20秒去重</x:v>
      </x:c>
      <x:c r="B9" s="36" t="str">
        <x:v>同用户相邻获额间隔≤20秒链式合批，取获额时间最新一笔，同秒取最大订单编号。</x:v>
      </x:c>
    </x:row>
    <x:row r="10" ht="38" customHeight="1">
      <x:c r="A10" s="2" t="str">
        <x:v>目标与对照</x:v>
      </x:c>
      <x:c r="B10" s="36" t="str">
        <x:v>目标为提额≥3000（含3000）。对照为同期相同有效T0事件中的0&lt;提额&lt;3000、额度不变、额度降低。</x:v>
      </x:c>
    </x:row>
    <x:row r="11" ht="38" customHeight="1">
      <x:c r="A11" s="2" t="str">
        <x:v>统计单位</x:v>
      </x:c>
      <x:c r="B11" s="36" t="str">
        <x:v>主要按获额事件统计，一个用户可有多次事件或跨分组。另提供每用户最后一次事件的敏感性对比。</x:v>
      </x:c>
    </x:row>
    <x:row r="12" ht="38" customHeight="1">
      <x:c r="A12" s="2" t="str">
        <x:v>行为基线</x:v>
      </x:c>
      <x:c r="B12" s="36" t="str">
        <x:v>获额日前7个完整自然日，不包含获额当天获额之前的动作。基线可能在同用户不同事件间复用。</x:v>
      </x:c>
    </x:row>
    <x:row r="13" ht="38" customHeight="1">
      <x:c r="A13" s="2" t="str">
        <x:v>获额后行为</x:v>
      </x:c>
      <x:c r="B13" s="36" t="str">
        <x:v>从获额时刻开始，至获额第8日00:00或下一次有效T0时刻的较早者。下一次T0之后不再归属本事件。</x:v>
      </x:c>
    </x:row>
    <x:row r="14" ht="38" customHeight="1">
      <x:c r="A14" s="2" t="str">
        <x:v>逐日分母</x:v>
      </x:c>
      <x:c r="B14" s="36" t="str">
        <x:v>当天具有正观察时长的事件数。D0为部分自然日；下一次T0造成的分母减少不能解释为流失。</x:v>
      </x:c>
    </x:row>
    <x:row r="15" ht="38" customHeight="1">
      <x:c r="A15" s="2" t="str">
        <x:v>有行为记录</x:v>
      </x:c>
      <x:c r="B15" s="36" t="str">
        <x:v>event_track_record在观察区间内至少有一行；不能完全区分未活跃与日志漏报。</x:v>
      </x:c>
    </x:row>
    <x:row r="16" ht="38" customHeight="1">
      <x:c r="A16" s="2" t="str">
        <x:v>实际提单</x:v>
      </x:c>
      <x:c r="B16" s="36" t="str">
        <x:v>用户在获额后、下一次有效T0前首次实际提单；不限同订单号或成功放款。原表当天归属逻辑已核对。</x:v>
      </x:c>
    </x:row>
    <x:row r="17" ht="38" customHeight="1">
      <x:c r="A17" s="2" t="str">
        <x:v>提单前视图</x:v>
      </x:c>
      <x:c r="B17" s="36" t="str">
        <x:v>仅取日志create_time早于首次提单的记录；至少60秒观察时间视图会排除即时提单，不与完整D0直接等同。</x:v>
      </x:c>
    </x:row>
    <x:row r="18" ht="38" customHeight="1">
      <x:c r="A18" s="2" t="str">
        <x:v>完整D0视图</x:v>
      </x:c>
      <x:c r="B18" s="36" t="str">
        <x:v>可包含实际提单之后的行为，只能描述人群。用于预测模型时须重新限定评分时已发生且可用的特征。</x:v>
      </x:c>
    </x:row>
    <x:row r="19" ht="48" customHeight="1">
      <x:c r="A19" s="2" t="str">
        <x:v>页面时长</x:v>
      </x:c>
      <x:c r="B19" s="36" t="str">
        <x:v>仅有效page_view_out的毫秒结束减开始，裁剪到观察窗与自然日；单条超过24小时或无效时长排除。不是互斥在线时长。</x:v>
      </x:c>
    </x:row>
    <x:row r="20" ht="48" customHeight="1">
      <x:c r="A20" s="2" t="str">
        <x:v>页面映射</x:v>
      </x:c>
      <x:c r="B20" s="36" t="str">
        <x:v>借款页进页限定Loan_newpage或Loan_newpage_select的page_view_in；其余按既有埋点props_id映射记录。</x:v>
      </x:c>
    </x:row>
    <x:row r="21" ht="38" customHeight="1">
      <x:c r="A21" s="2" t="str">
        <x:v>优惠券映射限制</x:v>
      </x:c>
      <x:c r="B21" s="36" t="str">
        <x:v>按既有Order_coupons_*映射，本次各组未观测到匹配记录。该项不用于画像结论，不能据此判断用户未使用优惠券。</x:v>
      </x:c>
    </x:row>
    <x:row r="22" ht="38" customHeight="1">
      <x:c r="A22" s="2" t="str">
        <x:v>确认相关埋点</x:v>
      </x:c>
      <x:c r="B22" s="36" t="str">
        <x:v>Loan_newconfirm相关记录不等于实际订单落库，不作为独立解释变量证明借款意愿。</x:v>
      </x:c>
    </x:row>
    <x:row r="23" ht="38" customHeight="1">
      <x:c r="A23" s="2" t="str">
        <x:v>共同支持标准化</x:v>
      </x:c>
      <x:c r="B23" s="36" t="str">
        <x:v>按月份、借款次数档、本次额度档、最低日息档分层；一般目标≥10且对照≥20才保留，按目标分布加权。</x:v>
      </x:c>
    </x:row>
    <x:row r="24" ht="38" customHeight="1">
      <x:c r="A24" s="2" t="str">
        <x:v>用户聚类区间</x:v>
      </x:c>
      <x:c r="B24" s="36" t="str">
        <x:v>同一用户多次事件共同聚类，分层权重固定；探索性区间不修正多重比较或未观测混杂。</x:v>
      </x:c>
    </x:row>
    <x:row r="25" ht="38" customHeight="1">
      <x:c r="A25" s="2" t="str">
        <x:v>因果解释限制</x:v>
      </x:c>
      <x:c r="B25" s="36" t="str">
        <x:v>页面动作、授信变化和提单结果的关联不能证明提额的因果影响，也不能直接证明价格敏感或技术失败。</x:v>
      </x:c>
    </x:row>
    <x:row r="26" ht="48" customHeight="1">
      <x:c r="A26" s="2" t="str">
        <x:v>源数据快照</x:v>
      </x:c>
      <x:c r="B26" s="36" t="str">
        <x:v>各月分片只读快照：2026-10-19T20:55:26.190137-06:00 至 2026-10-19T21:05:18.309568-06:00。源副本存在后补及覆盖限制。</x:v>
      </x:c>
    </x:row>
    <x:row r="27" ht="64" customHeight="1">
      <x:c r="A27" s="2" t="str">
        <x:v>数据来源</x:v>
      </x:c>
      <x:c r="B27" s="36" t="str">
        <x:v>wangchuanliang.order_vir_f_copy、side_recycle_type_copy、order_loan_f_v2_copy、product_info_copy、event_track_record。</x:v>
      </x:c>
    </x:row>
    <x:row r="28" ht="38" customHeight="1">
      <x:c r="A28" s="2" t="str">
        <x:v>数据覆盖核对</x:v>
      </x:c>
      <x:c r="B28" s="36" t="str">
        <x:v>共91082次有效T0；目标12309次、10440人；目标与其他事件组共有4675名重叠用户。</x:v>
      </x:c>
    </x:row>
    <x:row r="29" ht="38" customHeight="1">
      <x:c r="A29" s="2" t="str">
        <x:v>日志质量核对</x:v>
      </x:c>
      <x:c r="B29" s="36" t="str">
        <x:v>无效时长记录归属计数5；日期不一致归属计数0；缺失源日标记[]。日期有记录不等于ETL全量完整。</x:v>
      </x:c>
    </x:row>
    <x:row r="30" ht="25" customHeight="1">
      <x:c r="A30" s="2"/>
      <x:c r="B30" s="2"/>
    </x:row>
    <x:row r="31" ht="25" customHeight="1">
      <x:c r="A31" s="2"/>
      <x:c r="B31" s="2"/>
    </x:row>
    <x:row r="32" ht="25" customHeight="1">
      <x:c r="A32" s="2"/>
      <x:c r="B32" s="2"/>
    </x:row>
  </x:sheetData>
  <x:pageMargins left="0.7" right="0.7" top="0.75" bottom="0.75" header="0.3" footer="0.3"/>
</x:worksheet>
</file>